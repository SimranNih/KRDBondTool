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ran Nihalani\OneDrive\Documents\Models\"/>
    </mc:Choice>
  </mc:AlternateContent>
  <xr:revisionPtr revIDLastSave="0" documentId="13_ncr:1_{2ED5C176-931F-4774-9540-4A9ACB36EE94}" xr6:coauthVersionLast="47" xr6:coauthVersionMax="47" xr10:uidLastSave="{00000000-0000-0000-0000-000000000000}"/>
  <bookViews>
    <workbookView xWindow="-120" yWindow="-120" windowWidth="20730" windowHeight="11040" firstSheet="2" activeTab="3" xr2:uid="{1BE75814-D909-49AD-91E8-F7625971A7FC}"/>
  </bookViews>
  <sheets>
    <sheet name="Summary" sheetId="2" r:id="rId1"/>
    <sheet name="DurationTool" sheetId="1" r:id="rId2"/>
    <sheet name="Hedge Allocation" sheetId="7" r:id="rId3"/>
    <sheet name="Scenario_Bull_Flattener_154641" sheetId="10" r:id="rId4"/>
    <sheet name="Yield Curves" sheetId="5" r:id="rId5"/>
    <sheet name="Scenarios" sheetId="8" r:id="rId6"/>
  </sheets>
  <definedNames>
    <definedName name="solver_adj" localSheetId="2" hidden="1">'Hedge Allocation'!$E$2:$E$7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'Hedge Allocation'!$E$2:$E$7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'Hedge Allocation'!$H$9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hs1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" i="10" l="1"/>
  <c r="U5" i="10"/>
  <c r="U4" i="10"/>
  <c r="U3" i="10"/>
  <c r="F9" i="10"/>
  <c r="B9" i="10"/>
  <c r="J7" i="10"/>
  <c r="K7" i="10" s="1"/>
  <c r="L7" i="10" s="1"/>
  <c r="F7" i="10"/>
  <c r="B7" i="10"/>
  <c r="J6" i="10"/>
  <c r="F6" i="10"/>
  <c r="B6" i="10"/>
  <c r="K6" i="10" s="1"/>
  <c r="L6" i="10" s="1"/>
  <c r="J5" i="10"/>
  <c r="K5" i="10" s="1"/>
  <c r="L5" i="10" s="1"/>
  <c r="F5" i="10"/>
  <c r="B5" i="10"/>
  <c r="M5" i="10" s="1"/>
  <c r="J4" i="10"/>
  <c r="F4" i="10"/>
  <c r="B4" i="10"/>
  <c r="K4" i="10" s="1"/>
  <c r="L4" i="10" s="1"/>
  <c r="J3" i="10"/>
  <c r="K3" i="10" s="1"/>
  <c r="L3" i="10" s="1"/>
  <c r="M3" i="10" s="1"/>
  <c r="F3" i="10"/>
  <c r="B3" i="10"/>
  <c r="J2" i="10"/>
  <c r="F2" i="10"/>
  <c r="B2" i="10"/>
  <c r="H12" i="7"/>
  <c r="H11" i="7"/>
  <c r="K7" i="1"/>
  <c r="J6" i="1"/>
  <c r="I5" i="1"/>
  <c r="H4" i="1"/>
  <c r="G3" i="1"/>
  <c r="F2" i="1"/>
  <c r="J3" i="7"/>
  <c r="J4" i="7"/>
  <c r="J5" i="7"/>
  <c r="J6" i="7"/>
  <c r="J7" i="7"/>
  <c r="J2" i="7"/>
  <c r="B33" i="1"/>
  <c r="F3" i="7"/>
  <c r="F4" i="7"/>
  <c r="F5" i="7"/>
  <c r="F6" i="7"/>
  <c r="F7" i="7"/>
  <c r="F2" i="7"/>
  <c r="B38" i="5"/>
  <c r="B36" i="5"/>
  <c r="B37" i="5"/>
  <c r="B35" i="5"/>
  <c r="B24" i="5"/>
  <c r="B22" i="5"/>
  <c r="B21" i="5"/>
  <c r="B19" i="5"/>
  <c r="B17" i="5"/>
  <c r="B14" i="5"/>
  <c r="AI12" i="1"/>
  <c r="AI16" i="1"/>
  <c r="AI20" i="1"/>
  <c r="AI24" i="1"/>
  <c r="AI28" i="1"/>
  <c r="AH12" i="1"/>
  <c r="AH13" i="1"/>
  <c r="AI13" i="1" s="1"/>
  <c r="AH16" i="1"/>
  <c r="AH17" i="1"/>
  <c r="AI17" i="1" s="1"/>
  <c r="AH20" i="1"/>
  <c r="AH21" i="1"/>
  <c r="AI21" i="1" s="1"/>
  <c r="AH24" i="1"/>
  <c r="AH25" i="1"/>
  <c r="AI25" i="1" s="1"/>
  <c r="AH28" i="1"/>
  <c r="AH10" i="1"/>
  <c r="AI10" i="1" s="1"/>
  <c r="AG11" i="1"/>
  <c r="AH11" i="1" s="1"/>
  <c r="AI11" i="1" s="1"/>
  <c r="AG12" i="1"/>
  <c r="AG13" i="1"/>
  <c r="AG14" i="1"/>
  <c r="AH14" i="1" s="1"/>
  <c r="AI14" i="1" s="1"/>
  <c r="AG15" i="1"/>
  <c r="AH15" i="1" s="1"/>
  <c r="AI15" i="1" s="1"/>
  <c r="AG16" i="1"/>
  <c r="AG17" i="1"/>
  <c r="AG18" i="1"/>
  <c r="AH18" i="1" s="1"/>
  <c r="AI18" i="1" s="1"/>
  <c r="AG19" i="1"/>
  <c r="AH19" i="1" s="1"/>
  <c r="AI19" i="1" s="1"/>
  <c r="AG20" i="1"/>
  <c r="AG21" i="1"/>
  <c r="AG22" i="1"/>
  <c r="AH22" i="1" s="1"/>
  <c r="AI22" i="1" s="1"/>
  <c r="AG23" i="1"/>
  <c r="AH23" i="1" s="1"/>
  <c r="AI23" i="1" s="1"/>
  <c r="AG24" i="1"/>
  <c r="AG25" i="1"/>
  <c r="AG26" i="1"/>
  <c r="AH26" i="1" s="1"/>
  <c r="AI26" i="1" s="1"/>
  <c r="AG27" i="1"/>
  <c r="AH27" i="1" s="1"/>
  <c r="AI27" i="1" s="1"/>
  <c r="AG28" i="1"/>
  <c r="AG10" i="1"/>
  <c r="AD11" i="1"/>
  <c r="AE11" i="1" s="1"/>
  <c r="AD15" i="1"/>
  <c r="AE15" i="1" s="1"/>
  <c r="AD19" i="1"/>
  <c r="AE19" i="1" s="1"/>
  <c r="AD23" i="1"/>
  <c r="AE23" i="1" s="1"/>
  <c r="AD27" i="1"/>
  <c r="AE27" i="1" s="1"/>
  <c r="AC11" i="1"/>
  <c r="AC12" i="1"/>
  <c r="AD12" i="1" s="1"/>
  <c r="AE12" i="1" s="1"/>
  <c r="AC13" i="1"/>
  <c r="AD13" i="1" s="1"/>
  <c r="AE13" i="1" s="1"/>
  <c r="AC14" i="1"/>
  <c r="AD14" i="1" s="1"/>
  <c r="AE14" i="1" s="1"/>
  <c r="AC15" i="1"/>
  <c r="AC16" i="1"/>
  <c r="AD16" i="1" s="1"/>
  <c r="AE16" i="1" s="1"/>
  <c r="AC17" i="1"/>
  <c r="AD17" i="1" s="1"/>
  <c r="AE17" i="1" s="1"/>
  <c r="AC18" i="1"/>
  <c r="AD18" i="1" s="1"/>
  <c r="AE18" i="1" s="1"/>
  <c r="AC19" i="1"/>
  <c r="AC20" i="1"/>
  <c r="AD20" i="1" s="1"/>
  <c r="AE20" i="1" s="1"/>
  <c r="AC21" i="1"/>
  <c r="AD21" i="1" s="1"/>
  <c r="AE21" i="1" s="1"/>
  <c r="AC22" i="1"/>
  <c r="AD22" i="1" s="1"/>
  <c r="AE22" i="1" s="1"/>
  <c r="AC23" i="1"/>
  <c r="AC24" i="1"/>
  <c r="AD24" i="1" s="1"/>
  <c r="AE24" i="1" s="1"/>
  <c r="AC25" i="1"/>
  <c r="AD25" i="1" s="1"/>
  <c r="AE25" i="1" s="1"/>
  <c r="AC26" i="1"/>
  <c r="AD26" i="1" s="1"/>
  <c r="AE26" i="1" s="1"/>
  <c r="AC27" i="1"/>
  <c r="AC28" i="1"/>
  <c r="AD28" i="1" s="1"/>
  <c r="AE28" i="1" s="1"/>
  <c r="AC10" i="1"/>
  <c r="AD10" i="1" s="1"/>
  <c r="AE10" i="1" s="1"/>
  <c r="AA12" i="1"/>
  <c r="AA16" i="1"/>
  <c r="AA20" i="1"/>
  <c r="AA24" i="1"/>
  <c r="AA28" i="1"/>
  <c r="Z12" i="1"/>
  <c r="Z13" i="1"/>
  <c r="AA13" i="1" s="1"/>
  <c r="Z16" i="1"/>
  <c r="Z17" i="1"/>
  <c r="AA17" i="1" s="1"/>
  <c r="Z20" i="1"/>
  <c r="Z21" i="1"/>
  <c r="AA21" i="1" s="1"/>
  <c r="Z24" i="1"/>
  <c r="Z25" i="1"/>
  <c r="AA25" i="1" s="1"/>
  <c r="Z28" i="1"/>
  <c r="Z10" i="1"/>
  <c r="AA10" i="1" s="1"/>
  <c r="Y11" i="1"/>
  <c r="Z11" i="1" s="1"/>
  <c r="AA11" i="1" s="1"/>
  <c r="Y12" i="1"/>
  <c r="Y13" i="1"/>
  <c r="Y14" i="1"/>
  <c r="Z14" i="1" s="1"/>
  <c r="AA14" i="1" s="1"/>
  <c r="Y15" i="1"/>
  <c r="Z15" i="1" s="1"/>
  <c r="AA15" i="1" s="1"/>
  <c r="Y16" i="1"/>
  <c r="Y17" i="1"/>
  <c r="Y18" i="1"/>
  <c r="Z18" i="1" s="1"/>
  <c r="AA18" i="1" s="1"/>
  <c r="Y19" i="1"/>
  <c r="Z19" i="1" s="1"/>
  <c r="AA19" i="1" s="1"/>
  <c r="Y20" i="1"/>
  <c r="Y21" i="1"/>
  <c r="Y22" i="1"/>
  <c r="Z22" i="1" s="1"/>
  <c r="AA22" i="1" s="1"/>
  <c r="Y23" i="1"/>
  <c r="Z23" i="1" s="1"/>
  <c r="AA23" i="1" s="1"/>
  <c r="Y24" i="1"/>
  <c r="Y25" i="1"/>
  <c r="Y26" i="1"/>
  <c r="Z26" i="1" s="1"/>
  <c r="AA26" i="1" s="1"/>
  <c r="Y27" i="1"/>
  <c r="Z27" i="1" s="1"/>
  <c r="AA27" i="1" s="1"/>
  <c r="Y28" i="1"/>
  <c r="Y10" i="1"/>
  <c r="V11" i="1"/>
  <c r="W11" i="1" s="1"/>
  <c r="V13" i="1"/>
  <c r="W13" i="1" s="1"/>
  <c r="V15" i="1"/>
  <c r="W15" i="1" s="1"/>
  <c r="V17" i="1"/>
  <c r="W17" i="1" s="1"/>
  <c r="V19" i="1"/>
  <c r="W19" i="1" s="1"/>
  <c r="V21" i="1"/>
  <c r="W21" i="1" s="1"/>
  <c r="V23" i="1"/>
  <c r="W23" i="1" s="1"/>
  <c r="V27" i="1"/>
  <c r="W27" i="1" s="1"/>
  <c r="U11" i="1"/>
  <c r="U12" i="1"/>
  <c r="V12" i="1" s="1"/>
  <c r="W12" i="1" s="1"/>
  <c r="U13" i="1"/>
  <c r="U14" i="1"/>
  <c r="V14" i="1" s="1"/>
  <c r="W14" i="1" s="1"/>
  <c r="U15" i="1"/>
  <c r="U16" i="1"/>
  <c r="V16" i="1" s="1"/>
  <c r="W16" i="1" s="1"/>
  <c r="U17" i="1"/>
  <c r="U18" i="1"/>
  <c r="V18" i="1" s="1"/>
  <c r="W18" i="1" s="1"/>
  <c r="U19" i="1"/>
  <c r="U20" i="1"/>
  <c r="V20" i="1" s="1"/>
  <c r="W20" i="1" s="1"/>
  <c r="U21" i="1"/>
  <c r="U22" i="1"/>
  <c r="V22" i="1" s="1"/>
  <c r="W22" i="1" s="1"/>
  <c r="U23" i="1"/>
  <c r="U24" i="1"/>
  <c r="V24" i="1" s="1"/>
  <c r="W24" i="1" s="1"/>
  <c r="U25" i="1"/>
  <c r="V25" i="1" s="1"/>
  <c r="W25" i="1" s="1"/>
  <c r="U26" i="1"/>
  <c r="V26" i="1" s="1"/>
  <c r="W26" i="1" s="1"/>
  <c r="U27" i="1"/>
  <c r="U28" i="1"/>
  <c r="V28" i="1" s="1"/>
  <c r="W28" i="1" s="1"/>
  <c r="U10" i="1"/>
  <c r="V10" i="1" s="1"/>
  <c r="W10" i="1" s="1"/>
  <c r="R13" i="1"/>
  <c r="S13" i="1" s="1"/>
  <c r="R17" i="1"/>
  <c r="S17" i="1" s="1"/>
  <c r="R21" i="1"/>
  <c r="S21" i="1" s="1"/>
  <c r="R25" i="1"/>
  <c r="S25" i="1" s="1"/>
  <c r="R10" i="1"/>
  <c r="S10" i="1" s="1"/>
  <c r="Q11" i="1"/>
  <c r="R11" i="1" s="1"/>
  <c r="S11" i="1" s="1"/>
  <c r="Q12" i="1"/>
  <c r="R12" i="1" s="1"/>
  <c r="S12" i="1" s="1"/>
  <c r="Q13" i="1"/>
  <c r="Q14" i="1"/>
  <c r="R14" i="1" s="1"/>
  <c r="S14" i="1" s="1"/>
  <c r="Q15" i="1"/>
  <c r="R15" i="1" s="1"/>
  <c r="S15" i="1" s="1"/>
  <c r="Q16" i="1"/>
  <c r="R16" i="1" s="1"/>
  <c r="S16" i="1" s="1"/>
  <c r="Q17" i="1"/>
  <c r="Q18" i="1"/>
  <c r="R18" i="1" s="1"/>
  <c r="S18" i="1" s="1"/>
  <c r="Q19" i="1"/>
  <c r="R19" i="1" s="1"/>
  <c r="S19" i="1" s="1"/>
  <c r="Q20" i="1"/>
  <c r="R20" i="1" s="1"/>
  <c r="S20" i="1" s="1"/>
  <c r="Q21" i="1"/>
  <c r="Q22" i="1"/>
  <c r="R22" i="1" s="1"/>
  <c r="S22" i="1" s="1"/>
  <c r="Q23" i="1"/>
  <c r="R23" i="1" s="1"/>
  <c r="S23" i="1" s="1"/>
  <c r="Q24" i="1"/>
  <c r="R24" i="1" s="1"/>
  <c r="S24" i="1" s="1"/>
  <c r="Q25" i="1"/>
  <c r="Q26" i="1"/>
  <c r="R26" i="1" s="1"/>
  <c r="S26" i="1" s="1"/>
  <c r="Q27" i="1"/>
  <c r="R27" i="1" s="1"/>
  <c r="S27" i="1" s="1"/>
  <c r="Q28" i="1"/>
  <c r="R28" i="1" s="1"/>
  <c r="S28" i="1" s="1"/>
  <c r="Q10" i="1"/>
  <c r="K28" i="1"/>
  <c r="K14" i="1"/>
  <c r="J28" i="1"/>
  <c r="K30" i="1"/>
  <c r="K10" i="1"/>
  <c r="J10" i="1"/>
  <c r="M11" i="1"/>
  <c r="N11" i="1" s="1"/>
  <c r="O11" i="1" s="1"/>
  <c r="M12" i="1"/>
  <c r="N12" i="1" s="1"/>
  <c r="O12" i="1" s="1"/>
  <c r="M13" i="1"/>
  <c r="N13" i="1" s="1"/>
  <c r="O13" i="1" s="1"/>
  <c r="M14" i="1"/>
  <c r="N14" i="1" s="1"/>
  <c r="O14" i="1" s="1"/>
  <c r="M15" i="1"/>
  <c r="N15" i="1" s="1"/>
  <c r="O15" i="1" s="1"/>
  <c r="M16" i="1"/>
  <c r="N16" i="1" s="1"/>
  <c r="O16" i="1" s="1"/>
  <c r="M17" i="1"/>
  <c r="N17" i="1" s="1"/>
  <c r="O17" i="1" s="1"/>
  <c r="M18" i="1"/>
  <c r="N18" i="1" s="1"/>
  <c r="O18" i="1" s="1"/>
  <c r="M19" i="1"/>
  <c r="N19" i="1" s="1"/>
  <c r="O19" i="1" s="1"/>
  <c r="M20" i="1"/>
  <c r="N20" i="1" s="1"/>
  <c r="O20" i="1" s="1"/>
  <c r="M21" i="1"/>
  <c r="N21" i="1" s="1"/>
  <c r="O21" i="1" s="1"/>
  <c r="M22" i="1"/>
  <c r="N22" i="1" s="1"/>
  <c r="O22" i="1" s="1"/>
  <c r="M23" i="1"/>
  <c r="N23" i="1" s="1"/>
  <c r="O23" i="1" s="1"/>
  <c r="M24" i="1"/>
  <c r="N24" i="1" s="1"/>
  <c r="O24" i="1" s="1"/>
  <c r="M25" i="1"/>
  <c r="N25" i="1" s="1"/>
  <c r="O25" i="1" s="1"/>
  <c r="M26" i="1"/>
  <c r="N26" i="1" s="1"/>
  <c r="O26" i="1" s="1"/>
  <c r="M27" i="1"/>
  <c r="N27" i="1" s="1"/>
  <c r="O27" i="1" s="1"/>
  <c r="M28" i="1"/>
  <c r="N28" i="1" s="1"/>
  <c r="O28" i="1" s="1"/>
  <c r="M10" i="1"/>
  <c r="N10" i="1" s="1"/>
  <c r="O10" i="1" s="1"/>
  <c r="I10" i="1"/>
  <c r="K11" i="1"/>
  <c r="K12" i="1"/>
  <c r="K13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B35" i="1"/>
  <c r="B34" i="1"/>
  <c r="B32" i="1"/>
  <c r="B3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G11" i="1"/>
  <c r="F11" i="1"/>
  <c r="E11" i="1"/>
  <c r="D11" i="1"/>
  <c r="B11" i="1"/>
  <c r="G10" i="1"/>
  <c r="F10" i="1"/>
  <c r="E10" i="1"/>
  <c r="D10" i="1"/>
  <c r="B10" i="1"/>
  <c r="M7" i="10" l="1"/>
  <c r="M4" i="10"/>
  <c r="M6" i="10"/>
  <c r="H9" i="10"/>
  <c r="K2" i="10"/>
  <c r="L2" i="10" s="1"/>
  <c r="H11" i="10" s="1"/>
  <c r="H12" i="10" s="1"/>
  <c r="H13" i="10" s="1"/>
  <c r="AI30" i="1"/>
  <c r="B42" i="1" s="1"/>
  <c r="B7" i="7" s="1"/>
  <c r="AE30" i="1"/>
  <c r="B41" i="1" s="1"/>
  <c r="B6" i="7" s="1"/>
  <c r="AA30" i="1"/>
  <c r="B40" i="1" s="1"/>
  <c r="B5" i="7" s="1"/>
  <c r="W30" i="1"/>
  <c r="B39" i="1" s="1"/>
  <c r="B4" i="7" s="1"/>
  <c r="S30" i="1"/>
  <c r="B38" i="1" s="1"/>
  <c r="B3" i="7" s="1"/>
  <c r="O30" i="1"/>
  <c r="B37" i="1" s="1"/>
  <c r="B2" i="7" s="1"/>
  <c r="F9" i="7"/>
  <c r="M2" i="10" l="1"/>
  <c r="K7" i="7"/>
  <c r="L7" i="7" s="1"/>
  <c r="M7" i="7"/>
  <c r="K6" i="7"/>
  <c r="L6" i="7" s="1"/>
  <c r="M6" i="7" s="1"/>
  <c r="K5" i="7"/>
  <c r="L5" i="7" s="1"/>
  <c r="M5" i="7" s="1"/>
  <c r="K4" i="7"/>
  <c r="L4" i="7" s="1"/>
  <c r="M4" i="7"/>
  <c r="H9" i="7"/>
  <c r="K3" i="7"/>
  <c r="L3" i="7" s="1"/>
  <c r="M3" i="7"/>
  <c r="K2" i="7"/>
  <c r="L2" i="7" s="1"/>
  <c r="M2" i="7" s="1"/>
  <c r="B9" i="7"/>
  <c r="H13" i="7"/>
</calcChain>
</file>

<file path=xl/sharedStrings.xml><?xml version="1.0" encoding="utf-8"?>
<sst xmlns="http://schemas.openxmlformats.org/spreadsheetml/2006/main" count="162" uniqueCount="106">
  <si>
    <t>Bond Name</t>
  </si>
  <si>
    <t>Face Value</t>
  </si>
  <si>
    <t>Coupon Rate(%)</t>
  </si>
  <si>
    <t>Maturity(years)</t>
  </si>
  <si>
    <t>YTM(%)</t>
  </si>
  <si>
    <t>Frequrncy</t>
  </si>
  <si>
    <t>Bond Features</t>
  </si>
  <si>
    <t>10Y UST</t>
  </si>
  <si>
    <t>Example used : U.S. Treasury Note</t>
  </si>
  <si>
    <t xml:space="preserve">Issue Date: </t>
  </si>
  <si>
    <t>Maturity Date</t>
  </si>
  <si>
    <t>Fenruary 2034</t>
  </si>
  <si>
    <t>Coupon</t>
  </si>
  <si>
    <t>4.25%annual (paid semi-annually)</t>
  </si>
  <si>
    <t>Current YTM</t>
  </si>
  <si>
    <t>~4.45% (as of June 2025)</t>
  </si>
  <si>
    <t>Price</t>
  </si>
  <si>
    <t xml:space="preserve">Frequency </t>
  </si>
  <si>
    <t>Semi-annual</t>
  </si>
  <si>
    <t>(Source: FRED)</t>
  </si>
  <si>
    <t>Period</t>
  </si>
  <si>
    <t>Time in Yrs</t>
  </si>
  <si>
    <t>Cash Flow</t>
  </si>
  <si>
    <t>Discount Factor</t>
  </si>
  <si>
    <t>PV</t>
  </si>
  <si>
    <t>(PV*Time)</t>
  </si>
  <si>
    <t>(PV*Time^2)</t>
  </si>
  <si>
    <t>Macaulay Duration</t>
  </si>
  <si>
    <t>Modified Duration</t>
  </si>
  <si>
    <t>Convexity</t>
  </si>
  <si>
    <t>DV01</t>
  </si>
  <si>
    <t>Tenor</t>
  </si>
  <si>
    <t>Yield from Curve</t>
  </si>
  <si>
    <t>Yield</t>
  </si>
  <si>
    <t>Base Yield</t>
  </si>
  <si>
    <t>KRD @ 2Y</t>
  </si>
  <si>
    <t>2YShifted yield</t>
  </si>
  <si>
    <t>3Y Shifted yield</t>
  </si>
  <si>
    <t>2Y Shifted Yield</t>
  </si>
  <si>
    <t>5y Shifted Yield</t>
  </si>
  <si>
    <t>7Y Shifted Yield</t>
  </si>
  <si>
    <t>10Y Shifted Yield</t>
  </si>
  <si>
    <t>30Y Shifted Yield</t>
  </si>
  <si>
    <t>5Y Shifted yield</t>
  </si>
  <si>
    <t>7Y Shifted yield</t>
  </si>
  <si>
    <t>10Y Shifted yield</t>
  </si>
  <si>
    <t>30Y Shifted yield</t>
  </si>
  <si>
    <t>KRD @ 3Y</t>
  </si>
  <si>
    <t>KRD @ 5Y</t>
  </si>
  <si>
    <t>KRD @ 7Y</t>
  </si>
  <si>
    <t>KRD @ 10Y</t>
  </si>
  <si>
    <t>KRD @ 30Y</t>
  </si>
  <si>
    <t>98.7 (quoted as of % of face)</t>
  </si>
  <si>
    <t>par yield</t>
  </si>
  <si>
    <t xml:space="preserve">Maturity </t>
  </si>
  <si>
    <t>price</t>
  </si>
  <si>
    <t xml:space="preserve">Bootstrap 2Y </t>
  </si>
  <si>
    <t>Hedge Instrument</t>
  </si>
  <si>
    <t>KRD (Instrument)</t>
  </si>
  <si>
    <t>Hedge Weight</t>
  </si>
  <si>
    <t>Tenor (Yrs)</t>
  </si>
  <si>
    <t>2Y Future</t>
  </si>
  <si>
    <t>3Y Future</t>
  </si>
  <si>
    <t>5Y Future</t>
  </si>
  <si>
    <t>7Y Future</t>
  </si>
  <si>
    <t>10Y Future</t>
  </si>
  <si>
    <t>30Y Future</t>
  </si>
  <si>
    <t>*Assume each hedge instrument has a KRD of –100 (i.e., 1 contract has 100 DV01 equivalent).</t>
  </si>
  <si>
    <t>Risk Contribution</t>
  </si>
  <si>
    <t>Total KRD(Hedges ) = Total KRD (Bond) to solve for the hedge weights</t>
  </si>
  <si>
    <t>DV01 per unit</t>
  </si>
  <si>
    <t>Target DV01</t>
  </si>
  <si>
    <t>Scaled Weight</t>
  </si>
  <si>
    <t>Hedge DV01</t>
  </si>
  <si>
    <t>Hedge Risk Contribution</t>
  </si>
  <si>
    <t>Notional</t>
  </si>
  <si>
    <t>KRD-Hedge Cosine Similarity</t>
  </si>
  <si>
    <t>Hedge Match Score</t>
  </si>
  <si>
    <t>Interpretation</t>
  </si>
  <si>
    <t>Rate Shock</t>
  </si>
  <si>
    <t>Bond P&amp;L</t>
  </si>
  <si>
    <t>Hedge P&amp;L</t>
  </si>
  <si>
    <t>Net P&amp;L</t>
  </si>
  <si>
    <t>Scenario</t>
  </si>
  <si>
    <t>2Y</t>
  </si>
  <si>
    <t>3Y</t>
  </si>
  <si>
    <t>5Y</t>
  </si>
  <si>
    <t>7Y</t>
  </si>
  <si>
    <t>10Y</t>
  </si>
  <si>
    <t>30Y</t>
  </si>
  <si>
    <t>Parallel + 25bps</t>
  </si>
  <si>
    <t>Bear Steepener</t>
  </si>
  <si>
    <t>Bull Flattener</t>
  </si>
  <si>
    <r>
      <t xml:space="preserve">Calculate bond </t>
    </r>
    <r>
      <rPr>
        <b/>
        <sz val="11"/>
        <color theme="1"/>
        <rFont val="Aptos Narrow"/>
        <family val="2"/>
        <scheme val="minor"/>
      </rPr>
      <t>cash flows</t>
    </r>
    <r>
      <rPr>
        <sz val="11"/>
        <color theme="1"/>
        <rFont val="Aptos Narrow"/>
        <family val="2"/>
        <scheme val="minor"/>
      </rPr>
      <t xml:space="preserve"> and derive </t>
    </r>
    <r>
      <rPr>
        <b/>
        <sz val="11"/>
        <color theme="1"/>
        <rFont val="Aptos Narrow"/>
        <family val="2"/>
        <scheme val="minor"/>
      </rPr>
      <t>DV01</t>
    </r>
    <r>
      <rPr>
        <sz val="11"/>
        <color theme="1"/>
        <rFont val="Aptos Narrow"/>
        <family val="2"/>
        <scheme val="minor"/>
      </rPr>
      <t xml:space="preserve"> for individual bonds.</t>
    </r>
  </si>
  <si>
    <r>
      <t xml:space="preserve">Compute </t>
    </r>
    <r>
      <rPr>
        <b/>
        <sz val="11"/>
        <color theme="1"/>
        <rFont val="Aptos Narrow"/>
        <family val="2"/>
        <scheme val="minor"/>
      </rPr>
      <t>Key Rate Durations</t>
    </r>
    <r>
      <rPr>
        <sz val="11"/>
        <color theme="1"/>
        <rFont val="Aptos Narrow"/>
        <family val="2"/>
        <scheme val="minor"/>
      </rPr>
      <t xml:space="preserve"> across multiple maturities to identify curve-specific sensitivities.</t>
    </r>
  </si>
  <si>
    <r>
      <t xml:space="preserve">Construct </t>
    </r>
    <r>
      <rPr>
        <b/>
        <sz val="11"/>
        <color theme="1"/>
        <rFont val="Aptos Narrow"/>
        <family val="2"/>
        <scheme val="minor"/>
      </rPr>
      <t>partial or full hedge allocations</t>
    </r>
    <r>
      <rPr>
        <sz val="11"/>
        <color theme="1"/>
        <rFont val="Aptos Narrow"/>
        <family val="2"/>
        <scheme val="minor"/>
      </rPr>
      <t xml:space="preserve"> targeting specific points on the yield curve.</t>
    </r>
  </si>
  <si>
    <r>
      <t xml:space="preserve">Assess </t>
    </r>
    <r>
      <rPr>
        <b/>
        <sz val="11"/>
        <color theme="1"/>
        <rFont val="Aptos Narrow"/>
        <family val="2"/>
        <scheme val="minor"/>
      </rPr>
      <t>hedge effectiveness</t>
    </r>
    <r>
      <rPr>
        <sz val="11"/>
        <color theme="1"/>
        <rFont val="Aptos Narrow"/>
        <family val="2"/>
        <scheme val="minor"/>
      </rPr>
      <t xml:space="preserve"> through DV01 and KRD alignment.</t>
    </r>
  </si>
  <si>
    <r>
      <t xml:space="preserve">Visualize exposures via </t>
    </r>
    <r>
      <rPr>
        <b/>
        <sz val="11"/>
        <color theme="1"/>
        <rFont val="Aptos Narrow"/>
        <family val="2"/>
        <scheme val="minor"/>
      </rPr>
      <t>interactive bar charts</t>
    </r>
    <r>
      <rPr>
        <sz val="11"/>
        <color theme="1"/>
        <rFont val="Aptos Narrow"/>
        <family val="2"/>
        <scheme val="minor"/>
      </rPr>
      <t>.</t>
    </r>
  </si>
  <si>
    <r>
      <t xml:space="preserve">Run scenario analyses using a </t>
    </r>
    <r>
      <rPr>
        <b/>
        <sz val="11"/>
        <color theme="1"/>
        <rFont val="Aptos Narrow"/>
        <family val="2"/>
        <scheme val="minor"/>
      </rPr>
      <t>built-in VBA engine</t>
    </r>
    <r>
      <rPr>
        <sz val="11"/>
        <color theme="1"/>
        <rFont val="Aptos Narrow"/>
        <family val="2"/>
        <scheme val="minor"/>
      </rPr>
      <t xml:space="preserve"> to stress-test portfolio positions against shifts in key rates.</t>
    </r>
  </si>
  <si>
    <t>It allows a portfolio manager or analyst to:</t>
  </si>
  <si>
    <t>Scenario Summary</t>
  </si>
  <si>
    <t>Scenario:</t>
  </si>
  <si>
    <t>Total Bond P&amp;L:</t>
  </si>
  <si>
    <t>Total Hedge P&amp;L:</t>
  </si>
  <si>
    <t>Net P&amp;L:</t>
  </si>
  <si>
    <t>Hedge Effectiveness: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</si>
</sst>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0000"/>
    <numFmt numFmtId="166" formatCode="0.00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3" borderId="0" xfId="0" applyFill="1"/>
    <xf numFmtId="17" fontId="0" fillId="3" borderId="0" xfId="0" applyNumberFormat="1" applyFill="1"/>
    <xf numFmtId="0" fontId="3" fillId="3" borderId="0" xfId="0" applyFont="1" applyFill="1"/>
    <xf numFmtId="0" fontId="0" fillId="4" borderId="0" xfId="0" applyFill="1"/>
    <xf numFmtId="164" fontId="0" fillId="0" borderId="0" xfId="0" applyNumberFormat="1"/>
    <xf numFmtId="0" fontId="0" fillId="0" borderId="0" xfId="0" applyAlignment="1">
      <alignment horizontal="right"/>
    </xf>
    <xf numFmtId="2" fontId="0" fillId="0" borderId="0" xfId="1" applyNumberFormat="1" applyFont="1"/>
    <xf numFmtId="0" fontId="0" fillId="0" borderId="0" xfId="1" applyNumberFormat="1" applyFont="1"/>
    <xf numFmtId="0" fontId="2" fillId="5" borderId="0" xfId="0" applyFont="1" applyFill="1"/>
    <xf numFmtId="164" fontId="2" fillId="5" borderId="0" xfId="0" applyNumberFormat="1" applyFont="1" applyFill="1"/>
    <xf numFmtId="0" fontId="2" fillId="4" borderId="0" xfId="0" applyFont="1" applyFill="1"/>
    <xf numFmtId="0" fontId="2" fillId="3" borderId="0" xfId="0" applyFont="1" applyFill="1"/>
    <xf numFmtId="0" fontId="2" fillId="0" borderId="0" xfId="0" applyFont="1"/>
    <xf numFmtId="2" fontId="0" fillId="0" borderId="0" xfId="0" applyNumberFormat="1"/>
    <xf numFmtId="166" fontId="0" fillId="0" borderId="0" xfId="1" applyNumberFormat="1" applyFont="1"/>
    <xf numFmtId="165" fontId="2" fillId="5" borderId="0" xfId="0" applyNumberFormat="1" applyFont="1" applyFill="1"/>
    <xf numFmtId="0" fontId="0" fillId="7" borderId="0" xfId="0" applyFill="1"/>
    <xf numFmtId="166" fontId="0" fillId="8" borderId="0" xfId="1" applyNumberFormat="1" applyFont="1" applyFill="1"/>
    <xf numFmtId="10" fontId="0" fillId="0" borderId="0" xfId="1" applyNumberFormat="1" applyFont="1"/>
    <xf numFmtId="0" fontId="0" fillId="9" borderId="0" xfId="0" applyFill="1"/>
    <xf numFmtId="2" fontId="0" fillId="10" borderId="0" xfId="0" applyNumberFormat="1" applyFill="1"/>
    <xf numFmtId="0" fontId="0" fillId="4" borderId="0" xfId="0" applyFill="1" applyAlignment="1">
      <alignment horizontal="right"/>
    </xf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Yield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'Yield Curves'!$B$1</c:f>
              <c:strCache>
                <c:ptCount val="1"/>
                <c:pt idx="0">
                  <c:v>Base 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'Yield Curves'!$A$2:$A$7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30</c:v>
                </c:pt>
              </c:numCache>
            </c:numRef>
          </c:xVal>
          <c:yVal>
            <c:numRef>
              <c:f>'Yield Curves'!$B$2:$B$7</c:f>
              <c:numCache>
                <c:formatCode>0.00%</c:formatCode>
                <c:ptCount val="6"/>
                <c:pt idx="0">
                  <c:v>3.9600000000000003E-2</c:v>
                </c:pt>
                <c:pt idx="1">
                  <c:v>3.8699999999999998E-2</c:v>
                </c:pt>
                <c:pt idx="2">
                  <c:v>4.0099999999999997E-2</c:v>
                </c:pt>
                <c:pt idx="3">
                  <c:v>4.1399999999999999E-2</c:v>
                </c:pt>
                <c:pt idx="4">
                  <c:v>4.3799999999999999E-2</c:v>
                </c:pt>
                <c:pt idx="5">
                  <c:v>4.8800000000000003E-2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E3-421E-ADD0-76E28CBF6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081728"/>
        <c:axId val="1875074528"/>
      </c:scatterChart>
      <c:valAx>
        <c:axId val="187508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074528"/>
        <c:crosses val="autoZero"/>
        <c:crossBetween val="midCat"/>
      </c:valAx>
      <c:valAx>
        <c:axId val="18750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08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Interpolated</a:t>
            </a:r>
            <a:r>
              <a:rPr lang="en-US" baseline="0"/>
              <a:t> Yield Curve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781385472883309E-2"/>
          <c:y val="0.19486111111111112"/>
          <c:w val="0.8504658055383526"/>
          <c:h val="0.721258019830854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'Yield Curves'!$B$13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'Yield Curves'!$A$14:$A$25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15</c:v>
                </c:pt>
                <c:pt idx="11">
                  <c:v>30</c:v>
                </c:pt>
              </c:numCache>
            </c:numRef>
          </c:xVal>
          <c:yVal>
            <c:numRef>
              <c:f>'Yield Curves'!$B$14:$B$25</c:f>
              <c:numCache>
                <c:formatCode>0.00%</c:formatCode>
                <c:ptCount val="12"/>
                <c:pt idx="0">
                  <c:v>3.9109196455850904E-2</c:v>
                </c:pt>
                <c:pt idx="1">
                  <c:v>3.9600000000000003E-2</c:v>
                </c:pt>
                <c:pt idx="2">
                  <c:v>3.8699999999999998E-2</c:v>
                </c:pt>
                <c:pt idx="3">
                  <c:v>4.0153009471432938E-2</c:v>
                </c:pt>
                <c:pt idx="4">
                  <c:v>4.0099999999999997E-2</c:v>
                </c:pt>
                <c:pt idx="5">
                  <c:v>4.08488848151543E-2</c:v>
                </c:pt>
                <c:pt idx="6">
                  <c:v>4.1399999999999999E-2</c:v>
                </c:pt>
                <c:pt idx="7">
                  <c:v>4.1544760158875656E-2</c:v>
                </c:pt>
                <c:pt idx="8">
                  <c:v>4.1892697830736333E-2</c:v>
                </c:pt>
                <c:pt idx="9">
                  <c:v>4.3799999999999999E-2</c:v>
                </c:pt>
                <c:pt idx="10">
                  <c:v>4.39803238619004E-2</c:v>
                </c:pt>
                <c:pt idx="11">
                  <c:v>4.8800000000000003E-2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49-48CB-830F-480D8DC38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085568"/>
        <c:axId val="1875081728"/>
      </c:scatterChart>
      <c:valAx>
        <c:axId val="187508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081728"/>
        <c:crosses val="autoZero"/>
        <c:crossBetween val="midCat"/>
      </c:valAx>
      <c:valAx>
        <c:axId val="187508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08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9</xdr:row>
          <xdr:rowOff>152400</xdr:rowOff>
        </xdr:from>
        <xdr:to>
          <xdr:col>12</xdr:col>
          <xdr:colOff>762000</xdr:colOff>
          <xdr:row>12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</xdr:colOff>
          <xdr:row>13</xdr:row>
          <xdr:rowOff>114300</xdr:rowOff>
        </xdr:from>
        <xdr:to>
          <xdr:col>12</xdr:col>
          <xdr:colOff>714375</xdr:colOff>
          <xdr:row>16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Preset Scenarios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9</xdr:row>
          <xdr:rowOff>152400</xdr:rowOff>
        </xdr:from>
        <xdr:to>
          <xdr:col>12</xdr:col>
          <xdr:colOff>762000</xdr:colOff>
          <xdr:row>12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226B83F2-6D54-496F-99EF-459D5C1B0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</xdr:colOff>
          <xdr:row>13</xdr:row>
          <xdr:rowOff>114300</xdr:rowOff>
        </xdr:from>
        <xdr:to>
          <xdr:col>12</xdr:col>
          <xdr:colOff>714375</xdr:colOff>
          <xdr:row>16</xdr:row>
          <xdr:rowOff>114300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31AA572E-FFC0-4E2B-985A-504842F34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Preset Scenarios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0</xdr:row>
      <xdr:rowOff>42862</xdr:rowOff>
    </xdr:from>
    <xdr:to>
      <xdr:col>7</xdr:col>
      <xdr:colOff>142875</xdr:colOff>
      <xdr:row>10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3D9F64-17FB-7204-EC02-EB5859C79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269875</xdr:colOff>
      <xdr:row>12</xdr:row>
      <xdr:rowOff>1587</xdr:rowOff>
    </xdr:from>
    <xdr:to>
      <xdr:col>9</xdr:col>
      <xdr:colOff>568325</xdr:colOff>
      <xdr:row>26</xdr:row>
      <xdr:rowOff>77787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806ED4-FDF4-7322-9D51-D60F6F69A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7773B-A7ED-4A19-AC57-644EF842D04F}">
  <sheetPr codeName="Sheet1"/>
  <dimension ref="A1:I27"/>
  <sheetViews>
    <sheetView topLeftCell="A10" workbookViewId="0">
      <selection activeCell="A22" sqref="A22"/>
    </sheetView>
  </sheetViews>
  <sheetFormatPr defaultRowHeight="15" x14ac:dyDescent="0.25"/>
  <cols>
    <col min="1" max="1" width="14.42578125" style="3" customWidth="1"/>
    <col min="2" max="16384" width="9.140625" style="3"/>
  </cols>
  <sheetData>
    <row r="1" spans="1:5" customFormat="1" x14ac:dyDescent="0.25">
      <c r="A1" s="2" t="s">
        <v>8</v>
      </c>
      <c r="B1" s="2"/>
      <c r="C1" s="2"/>
      <c r="D1" s="2"/>
      <c r="E1" s="3"/>
    </row>
    <row r="2" spans="1:5" x14ac:dyDescent="0.25">
      <c r="A2" s="3" t="s">
        <v>9</v>
      </c>
      <c r="B2" s="4">
        <v>45323</v>
      </c>
    </row>
    <row r="3" spans="1:5" x14ac:dyDescent="0.25">
      <c r="A3" s="3" t="s">
        <v>10</v>
      </c>
      <c r="B3" s="3" t="s">
        <v>11</v>
      </c>
    </row>
    <row r="4" spans="1:5" x14ac:dyDescent="0.25">
      <c r="A4" s="3" t="s">
        <v>12</v>
      </c>
      <c r="B4" s="3" t="s">
        <v>13</v>
      </c>
    </row>
    <row r="5" spans="1:5" x14ac:dyDescent="0.25">
      <c r="A5" s="3" t="s">
        <v>14</v>
      </c>
      <c r="B5" s="3" t="s">
        <v>15</v>
      </c>
      <c r="E5" s="5" t="s">
        <v>19</v>
      </c>
    </row>
    <row r="6" spans="1:5" x14ac:dyDescent="0.25">
      <c r="A6" s="3" t="s">
        <v>16</v>
      </c>
      <c r="B6" s="3" t="s">
        <v>52</v>
      </c>
    </row>
    <row r="7" spans="1:5" x14ac:dyDescent="0.25">
      <c r="A7" s="3" t="s">
        <v>1</v>
      </c>
      <c r="B7" s="3">
        <v>100</v>
      </c>
    </row>
    <row r="8" spans="1:5" x14ac:dyDescent="0.25">
      <c r="A8" s="3" t="s">
        <v>17</v>
      </c>
      <c r="B8" s="3" t="s">
        <v>18</v>
      </c>
    </row>
    <row r="11" spans="1:5" x14ac:dyDescent="0.25">
      <c r="A11" s="15" t="s">
        <v>99</v>
      </c>
      <c r="B11" s="14"/>
      <c r="C11" s="14"/>
      <c r="D11" s="14"/>
    </row>
    <row r="12" spans="1:5" x14ac:dyDescent="0.25">
      <c r="A12" s="3" t="s">
        <v>93</v>
      </c>
      <c r="B12" s="14"/>
    </row>
    <row r="14" spans="1:5" x14ac:dyDescent="0.25">
      <c r="A14" s="3" t="s">
        <v>94</v>
      </c>
    </row>
    <row r="16" spans="1:5" x14ac:dyDescent="0.25">
      <c r="A16" s="3" t="s">
        <v>95</v>
      </c>
    </row>
    <row r="18" spans="1:9" x14ac:dyDescent="0.25">
      <c r="A18" s="3" t="s">
        <v>96</v>
      </c>
    </row>
    <row r="20" spans="1:9" x14ac:dyDescent="0.25">
      <c r="A20" s="3" t="s">
        <v>97</v>
      </c>
    </row>
    <row r="22" spans="1:9" x14ac:dyDescent="0.25">
      <c r="A22" s="3" t="s">
        <v>98</v>
      </c>
    </row>
    <row r="26" spans="1:9" x14ac:dyDescent="0.25">
      <c r="A26" s="22" t="s">
        <v>67</v>
      </c>
      <c r="B26" s="22"/>
      <c r="C26" s="22"/>
      <c r="D26" s="22"/>
      <c r="E26" s="22"/>
      <c r="F26" s="22"/>
      <c r="G26" s="22"/>
      <c r="H26" s="22"/>
      <c r="I26" s="22"/>
    </row>
    <row r="27" spans="1:9" x14ac:dyDescent="0.25">
      <c r="A27" s="22" t="s">
        <v>69</v>
      </c>
      <c r="B27" s="22"/>
      <c r="C27" s="22"/>
      <c r="D27" s="22"/>
      <c r="E27" s="22"/>
      <c r="F27" s="22"/>
      <c r="G27" s="22"/>
      <c r="H27"/>
      <c r="I2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A74DD-F916-45DB-B118-6058CFB4D76D}">
  <sheetPr codeName="Sheet2"/>
  <dimension ref="A1:AI42"/>
  <sheetViews>
    <sheetView topLeftCell="A17" zoomScale="74" workbookViewId="0">
      <selection activeCell="Z18" sqref="Z18"/>
    </sheetView>
  </sheetViews>
  <sheetFormatPr defaultRowHeight="15" x14ac:dyDescent="0.25"/>
  <cols>
    <col min="1" max="1" width="15.28515625" customWidth="1"/>
    <col min="2" max="2" width="14.5703125" bestFit="1" customWidth="1"/>
    <col min="3" max="3" width="10" bestFit="1" customWidth="1"/>
    <col min="4" max="4" width="15" bestFit="1" customWidth="1"/>
    <col min="5" max="5" width="9.5703125" bestFit="1" customWidth="1"/>
    <col min="6" max="6" width="14.28515625" customWidth="1"/>
    <col min="7" max="7" width="14.7109375" customWidth="1"/>
    <col min="9" max="9" width="15.85546875" customWidth="1"/>
    <col min="10" max="11" width="15.28515625" bestFit="1" customWidth="1"/>
    <col min="13" max="13" width="16.28515625" bestFit="1" customWidth="1"/>
    <col min="14" max="14" width="15.28515625" bestFit="1" customWidth="1"/>
    <col min="15" max="15" width="12.5703125" bestFit="1" customWidth="1"/>
    <col min="17" max="17" width="16.28515625" bestFit="1" customWidth="1"/>
    <col min="18" max="18" width="15.28515625" bestFit="1" customWidth="1"/>
    <col min="21" max="21" width="16.28515625" bestFit="1" customWidth="1"/>
    <col min="22" max="22" width="15.28515625" bestFit="1" customWidth="1"/>
    <col min="25" max="25" width="16.28515625" bestFit="1" customWidth="1"/>
    <col min="26" max="26" width="15.28515625" bestFit="1" customWidth="1"/>
    <col min="29" max="29" width="16.28515625" bestFit="1" customWidth="1"/>
    <col min="30" max="30" width="15.28515625" bestFit="1" customWidth="1"/>
    <col min="33" max="33" width="16.28515625" bestFit="1" customWidth="1"/>
    <col min="34" max="34" width="15.28515625" bestFit="1" customWidth="1"/>
  </cols>
  <sheetData>
    <row r="1" spans="1:35" x14ac:dyDescent="0.25">
      <c r="A1" s="1" t="s">
        <v>6</v>
      </c>
      <c r="B1" s="2"/>
      <c r="D1" s="2" t="s">
        <v>31</v>
      </c>
      <c r="E1" s="2" t="s">
        <v>34</v>
      </c>
      <c r="F1" s="2" t="s">
        <v>38</v>
      </c>
      <c r="G1" s="2" t="s">
        <v>37</v>
      </c>
      <c r="H1" s="2" t="s">
        <v>39</v>
      </c>
      <c r="I1" s="2" t="s">
        <v>40</v>
      </c>
      <c r="J1" s="2" t="s">
        <v>41</v>
      </c>
      <c r="K1" s="2" t="s">
        <v>42</v>
      </c>
    </row>
    <row r="2" spans="1:35" x14ac:dyDescent="0.25">
      <c r="A2" t="s">
        <v>0</v>
      </c>
      <c r="B2" s="8" t="s">
        <v>7</v>
      </c>
      <c r="D2">
        <v>2</v>
      </c>
      <c r="E2" s="17">
        <v>3.9600000000000003E-2</v>
      </c>
      <c r="F2" s="20">
        <f>E2+0.0001</f>
        <v>3.9700000000000006E-2</v>
      </c>
      <c r="G2" s="17">
        <v>3.9600000000000003E-2</v>
      </c>
      <c r="H2" s="17">
        <v>3.9600000000000003E-2</v>
      </c>
      <c r="I2" s="17">
        <v>3.9600000000000003E-2</v>
      </c>
      <c r="J2" s="17">
        <v>3.9600000000000003E-2</v>
      </c>
      <c r="K2" s="17">
        <v>3.9600000000000003E-2</v>
      </c>
    </row>
    <row r="3" spans="1:35" x14ac:dyDescent="0.25">
      <c r="A3" t="s">
        <v>1</v>
      </c>
      <c r="B3">
        <v>100</v>
      </c>
      <c r="D3">
        <v>3</v>
      </c>
      <c r="E3" s="17">
        <v>3.8699999999999998E-2</v>
      </c>
      <c r="F3" s="17">
        <v>3.8699999999999998E-2</v>
      </c>
      <c r="G3" s="20">
        <f>E3+0.0001</f>
        <v>3.8800000000000001E-2</v>
      </c>
      <c r="H3" s="17">
        <v>3.8699999999999998E-2</v>
      </c>
      <c r="I3" s="17">
        <v>3.8699999999999998E-2</v>
      </c>
      <c r="J3" s="17">
        <v>3.8699999999999998E-2</v>
      </c>
      <c r="K3" s="17">
        <v>3.8699999999999998E-2</v>
      </c>
    </row>
    <row r="4" spans="1:35" x14ac:dyDescent="0.25">
      <c r="A4" t="s">
        <v>2</v>
      </c>
      <c r="B4" s="19">
        <v>4.25</v>
      </c>
      <c r="D4">
        <v>5</v>
      </c>
      <c r="E4" s="17">
        <v>4.0099999999999997E-2</v>
      </c>
      <c r="F4" s="17">
        <v>4.0099999999999997E-2</v>
      </c>
      <c r="G4" s="17">
        <v>4.0099999999999997E-2</v>
      </c>
      <c r="H4" s="20">
        <f>E4+0.0001</f>
        <v>4.02E-2</v>
      </c>
      <c r="I4" s="17">
        <v>4.0099999999999997E-2</v>
      </c>
      <c r="J4" s="17">
        <v>4.0099999999999997E-2</v>
      </c>
      <c r="K4" s="17">
        <v>4.0099999999999997E-2</v>
      </c>
    </row>
    <row r="5" spans="1:35" x14ac:dyDescent="0.25">
      <c r="A5" t="s">
        <v>3</v>
      </c>
      <c r="B5">
        <v>9.75</v>
      </c>
      <c r="D5">
        <v>7</v>
      </c>
      <c r="E5" s="17">
        <v>4.1399999999999999E-2</v>
      </c>
      <c r="F5" s="17">
        <v>4.1399999999999999E-2</v>
      </c>
      <c r="G5" s="17">
        <v>4.1399999999999999E-2</v>
      </c>
      <c r="H5" s="17">
        <v>4.1399999999999999E-2</v>
      </c>
      <c r="I5" s="20">
        <f>E5+0.0001</f>
        <v>4.1500000000000002E-2</v>
      </c>
      <c r="J5" s="17">
        <v>4.1399999999999999E-2</v>
      </c>
      <c r="K5" s="17">
        <v>4.1399999999999999E-2</v>
      </c>
    </row>
    <row r="6" spans="1:35" x14ac:dyDescent="0.25">
      <c r="A6" t="s">
        <v>4</v>
      </c>
      <c r="B6" s="10">
        <v>4.45</v>
      </c>
      <c r="D6">
        <v>10</v>
      </c>
      <c r="E6" s="17">
        <v>4.3799999999999999E-2</v>
      </c>
      <c r="F6" s="17">
        <v>4.3799999999999999E-2</v>
      </c>
      <c r="G6" s="17">
        <v>4.3799999999999999E-2</v>
      </c>
      <c r="H6" s="17">
        <v>4.3799999999999999E-2</v>
      </c>
      <c r="I6" s="17">
        <v>4.3799999999999999E-2</v>
      </c>
      <c r="J6" s="20">
        <f>E6+0.0001</f>
        <v>4.3900000000000002E-2</v>
      </c>
      <c r="K6" s="17">
        <v>4.3799999999999999E-2</v>
      </c>
    </row>
    <row r="7" spans="1:35" x14ac:dyDescent="0.25">
      <c r="A7" t="s">
        <v>5</v>
      </c>
      <c r="B7">
        <v>2</v>
      </c>
      <c r="D7">
        <v>30</v>
      </c>
      <c r="E7" s="17">
        <v>4.8800000000000003E-2</v>
      </c>
      <c r="F7" s="17">
        <v>4.8800000000000003E-2</v>
      </c>
      <c r="G7" s="17">
        <v>4.8800000000000003E-2</v>
      </c>
      <c r="H7" s="17">
        <v>4.8800000000000003E-2</v>
      </c>
      <c r="I7" s="17">
        <v>4.8800000000000003E-2</v>
      </c>
      <c r="J7" s="17">
        <v>4.8800000000000003E-2</v>
      </c>
      <c r="K7" s="20">
        <f>E7+0.0001</f>
        <v>4.8900000000000006E-2</v>
      </c>
    </row>
    <row r="8" spans="1:35" x14ac:dyDescent="0.25">
      <c r="I8" s="25" t="s">
        <v>34</v>
      </c>
      <c r="J8" s="25"/>
      <c r="K8" s="25"/>
      <c r="M8" s="25" t="s">
        <v>36</v>
      </c>
      <c r="N8" s="25"/>
      <c r="O8" s="25"/>
      <c r="Q8" s="25" t="s">
        <v>37</v>
      </c>
      <c r="R8" s="25"/>
      <c r="S8" s="25"/>
      <c r="U8" s="25" t="s">
        <v>43</v>
      </c>
      <c r="V8" s="25"/>
      <c r="W8" s="25"/>
      <c r="Y8" s="25" t="s">
        <v>44</v>
      </c>
      <c r="Z8" s="25"/>
      <c r="AA8" s="25"/>
      <c r="AC8" s="25" t="s">
        <v>45</v>
      </c>
      <c r="AD8" s="25"/>
      <c r="AE8" s="25"/>
      <c r="AG8" s="25" t="s">
        <v>46</v>
      </c>
      <c r="AH8" s="25"/>
      <c r="AI8" s="25"/>
    </row>
    <row r="9" spans="1:35" x14ac:dyDescent="0.25">
      <c r="A9" s="13" t="s">
        <v>20</v>
      </c>
      <c r="B9" s="13" t="s">
        <v>21</v>
      </c>
      <c r="C9" s="13" t="s">
        <v>22</v>
      </c>
      <c r="D9" s="13" t="s">
        <v>23</v>
      </c>
      <c r="E9" s="13" t="s">
        <v>24</v>
      </c>
      <c r="F9" s="13" t="s">
        <v>25</v>
      </c>
      <c r="G9" s="13" t="s">
        <v>26</v>
      </c>
      <c r="I9" s="13" t="s">
        <v>32</v>
      </c>
      <c r="J9" s="13" t="s">
        <v>23</v>
      </c>
      <c r="K9" s="13" t="s">
        <v>24</v>
      </c>
      <c r="M9" s="13" t="s">
        <v>32</v>
      </c>
      <c r="N9" s="13" t="s">
        <v>23</v>
      </c>
      <c r="O9" s="13" t="s">
        <v>24</v>
      </c>
      <c r="Q9" s="13" t="s">
        <v>32</v>
      </c>
      <c r="R9" s="13" t="s">
        <v>23</v>
      </c>
      <c r="S9" s="13" t="s">
        <v>24</v>
      </c>
      <c r="U9" s="13" t="s">
        <v>32</v>
      </c>
      <c r="V9" s="13" t="s">
        <v>23</v>
      </c>
      <c r="W9" s="13" t="s">
        <v>24</v>
      </c>
      <c r="Y9" s="13" t="s">
        <v>32</v>
      </c>
      <c r="Z9" s="13" t="s">
        <v>23</v>
      </c>
      <c r="AA9" s="13" t="s">
        <v>24</v>
      </c>
      <c r="AC9" s="13" t="s">
        <v>32</v>
      </c>
      <c r="AD9" s="13" t="s">
        <v>23</v>
      </c>
      <c r="AE9" s="13" t="s">
        <v>24</v>
      </c>
      <c r="AG9" s="13" t="s">
        <v>32</v>
      </c>
      <c r="AH9" s="13" t="s">
        <v>23</v>
      </c>
      <c r="AI9" s="13" t="s">
        <v>24</v>
      </c>
    </row>
    <row r="10" spans="1:35" x14ac:dyDescent="0.25">
      <c r="A10" s="16">
        <v>1</v>
      </c>
      <c r="B10">
        <f>A10/2</f>
        <v>0.5</v>
      </c>
      <c r="C10">
        <v>2.125</v>
      </c>
      <c r="D10">
        <f>1/(1+4.45%/2)^A10</f>
        <v>0.97823428711176319</v>
      </c>
      <c r="E10" s="7">
        <f>C10*D10</f>
        <v>2.0787478601124967</v>
      </c>
      <c r="F10">
        <f>E10*B10</f>
        <v>1.0393739300562483</v>
      </c>
      <c r="G10">
        <f>F10*B10</f>
        <v>0.51968696502812417</v>
      </c>
      <c r="I10" s="17">
        <f>_xlfn.FORECAST.LINEAR(B10,$E$2:$E$7,$D$2:$D$7)</f>
        <v>3.8935227619920569E-2</v>
      </c>
      <c r="J10">
        <f>1/(1+I10)^B10</f>
        <v>0.98108303031996136</v>
      </c>
      <c r="K10">
        <f>C10*J10</f>
        <v>2.0848014394299179</v>
      </c>
      <c r="M10">
        <f>_xlfn.FORECAST.LINEAR(B10,$F$2:$F$7,$D$2:$D$7)</f>
        <v>3.8964268255423158E-2</v>
      </c>
      <c r="N10">
        <f>1/(1+M10)^B10</f>
        <v>0.98106931884082371</v>
      </c>
      <c r="O10">
        <f>C10*N10</f>
        <v>2.0847723025367504</v>
      </c>
      <c r="Q10">
        <f>_xlfn.FORECAST.LINEAR(B10,$G$2:$G$7,$D$2:$D$7)</f>
        <v>3.8962618392911701E-2</v>
      </c>
      <c r="R10">
        <f>1/(1+Q10)^B10</f>
        <v>0.98107009780477261</v>
      </c>
      <c r="S10">
        <f>C10*R10</f>
        <v>2.0847739578351416</v>
      </c>
      <c r="U10">
        <f>_xlfn.FORECAST.LINEAR(B10,$H$2:$H$7,$D$2:$D$7)</f>
        <v>3.8959318667888786E-2</v>
      </c>
      <c r="V10">
        <f>1/(1+U10)^B10</f>
        <v>0.98107165573823651</v>
      </c>
      <c r="W10">
        <f>C10*V10</f>
        <v>2.0847772684437524</v>
      </c>
      <c r="Y10">
        <f>_xlfn.FORECAST.LINEAR(B10,$I$2:$I$7,$D$2:$D$7)</f>
        <v>3.8956018942865878E-2</v>
      </c>
      <c r="Z10">
        <f>1/(1+Y10)^(B10)</f>
        <v>0.98107321367912248</v>
      </c>
      <c r="AA10">
        <f>C10*Z10</f>
        <v>2.0847805790681351</v>
      </c>
      <c r="AC10">
        <f>_xlfn.FORECAST.LINEAR(B10,$J$2:$J$7,$D$2:$D$7)</f>
        <v>3.8951069355331498E-2</v>
      </c>
      <c r="AD10">
        <f>1/(1+AC10)^(B10)</f>
        <v>0.98107555060436791</v>
      </c>
      <c r="AE10">
        <f>C10*AD10</f>
        <v>2.0847855450342818</v>
      </c>
      <c r="AG10">
        <f>_xlfn.FORECAST.LINEAR(B10,$K$2:$K$7,$D$2:$D$7)</f>
        <v>3.8918072105102348E-2</v>
      </c>
      <c r="AH10">
        <f>1/(1+AG10)^(B10)</f>
        <v>0.98109113053278607</v>
      </c>
      <c r="AI10">
        <f>AH10*C10</f>
        <v>2.0848186523821703</v>
      </c>
    </row>
    <row r="11" spans="1:35" x14ac:dyDescent="0.25">
      <c r="A11">
        <v>2</v>
      </c>
      <c r="B11">
        <f>A11/2</f>
        <v>1</v>
      </c>
      <c r="C11">
        <v>2.125</v>
      </c>
      <c r="D11">
        <f>1/(1+4.45%/2)^A11</f>
        <v>0.95694232048105954</v>
      </c>
      <c r="E11">
        <f>C11*D11</f>
        <v>2.0335024310222516</v>
      </c>
      <c r="F11">
        <f>E11*B11</f>
        <v>2.0335024310222516</v>
      </c>
      <c r="G11">
        <f>F11*B11</f>
        <v>2.0335024310222516</v>
      </c>
      <c r="I11" s="17">
        <f t="shared" ref="I11:I28" si="0">_xlfn.FORECAST.LINEAR(B11,$E$2:$E$7,$D$2:$D$7)</f>
        <v>3.9109196455850904E-2</v>
      </c>
      <c r="J11">
        <f t="shared" ref="J11:J27" si="1">1/(1+I11)^B11</f>
        <v>0.96236276554067368</v>
      </c>
      <c r="K11">
        <f t="shared" ref="K11:K27" si="2">C11*J11</f>
        <v>2.0450208767739317</v>
      </c>
      <c r="M11">
        <f t="shared" ref="M11:M28" si="3">_xlfn.FORECAST.LINEAR(B11,$F$2:$F$7,$D$2:$D$7)</f>
        <v>3.9137549648640385E-2</v>
      </c>
      <c r="N11">
        <f t="shared" ref="N11:N28" si="4">1/(1+M11)^B11</f>
        <v>0.96233650717186214</v>
      </c>
      <c r="O11">
        <f t="shared" ref="O11:O28" si="5">C11*N11</f>
        <v>2.0449650777402071</v>
      </c>
      <c r="Q11">
        <f t="shared" ref="Q11:Q28" si="6">_xlfn.FORECAST.LINEAR(B11,$G$2:$G$7,$D$2:$D$7)</f>
        <v>3.913599144515735E-2</v>
      </c>
      <c r="R11">
        <f t="shared" ref="R11:R28" si="7">1/(1+Q11)^B11</f>
        <v>0.96233795021310942</v>
      </c>
      <c r="S11">
        <f t="shared" ref="S11:S28" si="8">C11*R11</f>
        <v>2.0449681442028576</v>
      </c>
      <c r="U11">
        <f t="shared" ref="U11:U28" si="9">_xlfn.FORECAST.LINEAR(B11,$H$2:$H$7,$D$2:$D$7)</f>
        <v>3.913287503819126E-2</v>
      </c>
      <c r="V11">
        <f t="shared" ref="V11:V28" si="10">1/(1+U11)^B11</f>
        <v>0.96234083630858769</v>
      </c>
      <c r="W11">
        <f t="shared" ref="W11:W28" si="11">C11*V11</f>
        <v>2.0449742771557489</v>
      </c>
      <c r="Y11">
        <f t="shared" ref="Y11:Y28" si="12">_xlfn.FORECAST.LINEAR(B11,$I$2:$I$7,$D$2:$D$7)</f>
        <v>3.9129758631225177E-2</v>
      </c>
      <c r="Z11">
        <f t="shared" ref="Z11:Z28" si="13">1/(1+Y11)^(B11)</f>
        <v>0.96234372242137678</v>
      </c>
      <c r="AA11">
        <f t="shared" ref="AA11:AA28" si="14">C11*Z11</f>
        <v>2.0449804101454259</v>
      </c>
      <c r="AC11">
        <f t="shared" ref="AC11:AC28" si="15">_xlfn.FORECAST.LINEAR(B11,$J$2:$J$7,$D$2:$D$7)</f>
        <v>3.9125084020776045E-2</v>
      </c>
      <c r="AD11">
        <f t="shared" ref="AD11:AD28" si="16">1/(1+AC11)^(B11)</f>
        <v>0.96234805162301928</v>
      </c>
      <c r="AE11">
        <f t="shared" ref="AE11:AE28" si="17">C11*AD11</f>
        <v>2.044989609698916</v>
      </c>
      <c r="AG11">
        <f t="shared" ref="AG11:AG28" si="18">_xlfn.FORECAST.LINEAR(B11,$K$2:$K$7,$D$2:$D$7)</f>
        <v>3.9093919951115184E-2</v>
      </c>
      <c r="AH11">
        <f t="shared" ref="AH11:AH28" si="19">1/(1+AG11)^(B11)</f>
        <v>0.9623769139627395</v>
      </c>
      <c r="AI11">
        <f t="shared" ref="AI11:AI28" si="20">AH11*C11</f>
        <v>2.0450509421708216</v>
      </c>
    </row>
    <row r="12" spans="1:35" x14ac:dyDescent="0.25">
      <c r="A12">
        <v>3</v>
      </c>
      <c r="B12">
        <f t="shared" ref="B12:B28" si="21">A12/2</f>
        <v>1.5</v>
      </c>
      <c r="C12">
        <v>2.125</v>
      </c>
      <c r="D12">
        <f t="shared" ref="D12:D28" si="22">1/(1+4.45%/2)^A12</f>
        <v>0.93611378868286577</v>
      </c>
      <c r="E12">
        <f t="shared" ref="E12:E28" si="23">C12*D12</f>
        <v>1.9892418009510897</v>
      </c>
      <c r="F12">
        <f t="shared" ref="F12:F28" si="24">E12*B12</f>
        <v>2.9838627014266343</v>
      </c>
      <c r="G12">
        <f t="shared" ref="G12:G28" si="25">F12*B12</f>
        <v>4.4757940521399515</v>
      </c>
      <c r="I12" s="17">
        <f t="shared" si="0"/>
        <v>3.9283165291781247E-2</v>
      </c>
      <c r="J12">
        <f t="shared" si="1"/>
        <v>0.94384170050752159</v>
      </c>
      <c r="K12">
        <f t="shared" si="2"/>
        <v>2.0056636135784833</v>
      </c>
      <c r="M12">
        <f t="shared" si="3"/>
        <v>3.9310831041857619E-2</v>
      </c>
      <c r="N12">
        <f t="shared" si="4"/>
        <v>0.94380401411855297</v>
      </c>
      <c r="O12">
        <f t="shared" si="5"/>
        <v>2.0055835300019251</v>
      </c>
      <c r="Q12">
        <f t="shared" si="6"/>
        <v>3.9309364497402993E-2</v>
      </c>
      <c r="R12">
        <f t="shared" si="7"/>
        <v>0.94380601178798418</v>
      </c>
      <c r="S12">
        <f t="shared" si="8"/>
        <v>2.0055877750494662</v>
      </c>
      <c r="U12">
        <f t="shared" si="9"/>
        <v>3.9306431408493735E-2</v>
      </c>
      <c r="V12">
        <f t="shared" si="10"/>
        <v>0.94381000714798846</v>
      </c>
      <c r="W12">
        <f t="shared" si="11"/>
        <v>2.0055962651894754</v>
      </c>
      <c r="Y12">
        <f t="shared" si="12"/>
        <v>3.9303498319584483E-2</v>
      </c>
      <c r="Z12">
        <f t="shared" si="13"/>
        <v>0.9438140025361812</v>
      </c>
      <c r="AA12">
        <f t="shared" si="14"/>
        <v>2.0056047553893852</v>
      </c>
      <c r="AC12">
        <f t="shared" si="15"/>
        <v>3.9299098686220592E-2</v>
      </c>
      <c r="AD12">
        <f t="shared" si="16"/>
        <v>0.94381999567132624</v>
      </c>
      <c r="AE12">
        <f t="shared" si="17"/>
        <v>2.0056174908015683</v>
      </c>
      <c r="AG12">
        <f t="shared" si="18"/>
        <v>3.9269767797128013E-2</v>
      </c>
      <c r="AH12">
        <f t="shared" si="19"/>
        <v>0.94385995152657465</v>
      </c>
      <c r="AI12">
        <f t="shared" si="20"/>
        <v>2.0057023969939713</v>
      </c>
    </row>
    <row r="13" spans="1:35" x14ac:dyDescent="0.25">
      <c r="A13">
        <v>4</v>
      </c>
      <c r="B13">
        <f t="shared" si="21"/>
        <v>2</v>
      </c>
      <c r="C13">
        <v>2.125</v>
      </c>
      <c r="D13">
        <f t="shared" si="22"/>
        <v>0.91573860472767477</v>
      </c>
      <c r="E13">
        <f t="shared" si="23"/>
        <v>1.9459445350463089</v>
      </c>
      <c r="F13">
        <f t="shared" si="24"/>
        <v>3.8918890700926179</v>
      </c>
      <c r="G13">
        <f t="shared" si="25"/>
        <v>7.7837781401852357</v>
      </c>
      <c r="I13" s="17">
        <f t="shared" si="0"/>
        <v>3.9457134127711582E-2</v>
      </c>
      <c r="J13">
        <f t="shared" si="1"/>
        <v>0.92552218085248861</v>
      </c>
      <c r="K13">
        <f t="shared" si="2"/>
        <v>1.9667346343115384</v>
      </c>
      <c r="M13">
        <f t="shared" si="3"/>
        <v>3.9484112435074853E-2</v>
      </c>
      <c r="N13">
        <f t="shared" si="4"/>
        <v>0.92547414029554242</v>
      </c>
      <c r="O13">
        <f t="shared" si="5"/>
        <v>1.9666325481280276</v>
      </c>
      <c r="Q13">
        <f t="shared" si="6"/>
        <v>3.9482737549648643E-2</v>
      </c>
      <c r="R13">
        <f t="shared" si="7"/>
        <v>0.92547658847809189</v>
      </c>
      <c r="S13">
        <f t="shared" si="8"/>
        <v>1.9666377505159454</v>
      </c>
      <c r="U13">
        <f t="shared" si="9"/>
        <v>3.9479987778796209E-2</v>
      </c>
      <c r="V13">
        <f t="shared" si="10"/>
        <v>0.9254814848723345</v>
      </c>
      <c r="W13">
        <f t="shared" si="11"/>
        <v>1.9666481553537107</v>
      </c>
      <c r="Y13">
        <f t="shared" si="12"/>
        <v>3.9477238007943782E-2</v>
      </c>
      <c r="Z13">
        <f t="shared" si="13"/>
        <v>0.92548638130543459</v>
      </c>
      <c r="AA13">
        <f t="shared" si="14"/>
        <v>1.9666585602740485</v>
      </c>
      <c r="AC13">
        <f t="shared" si="15"/>
        <v>3.9473113351665139E-2</v>
      </c>
      <c r="AD13">
        <f t="shared" si="16"/>
        <v>0.92549372602794477</v>
      </c>
      <c r="AE13">
        <f t="shared" si="17"/>
        <v>1.9666741678093826</v>
      </c>
      <c r="AG13">
        <f t="shared" si="18"/>
        <v>3.9445615643140849E-2</v>
      </c>
      <c r="AH13">
        <f t="shared" si="19"/>
        <v>0.92554269307913473</v>
      </c>
      <c r="AI13">
        <f t="shared" si="20"/>
        <v>1.9667782227931614</v>
      </c>
    </row>
    <row r="14" spans="1:35" x14ac:dyDescent="0.25">
      <c r="A14">
        <v>5</v>
      </c>
      <c r="B14">
        <f t="shared" si="21"/>
        <v>2.5</v>
      </c>
      <c r="C14">
        <v>2.125</v>
      </c>
      <c r="D14">
        <f t="shared" si="22"/>
        <v>0.89580690117649764</v>
      </c>
      <c r="E14">
        <f t="shared" si="23"/>
        <v>1.9035896650000574</v>
      </c>
      <c r="F14">
        <f t="shared" si="24"/>
        <v>4.7589741625001434</v>
      </c>
      <c r="G14">
        <f t="shared" si="25"/>
        <v>11.897435406250359</v>
      </c>
      <c r="I14" s="17">
        <f t="shared" si="0"/>
        <v>3.9631102963641925E-2</v>
      </c>
      <c r="J14">
        <f t="shared" si="1"/>
        <v>0.9074064043620611</v>
      </c>
      <c r="K14">
        <f>C14*J14</f>
        <v>1.9282386092693797</v>
      </c>
      <c r="M14">
        <f t="shared" si="3"/>
        <v>3.9657393828292087E-2</v>
      </c>
      <c r="N14">
        <f t="shared" si="4"/>
        <v>0.90734903919868948</v>
      </c>
      <c r="O14">
        <f t="shared" si="5"/>
        <v>1.928116708297215</v>
      </c>
      <c r="Q14">
        <f t="shared" si="6"/>
        <v>3.9656110601894286E-2</v>
      </c>
      <c r="R14">
        <f t="shared" si="7"/>
        <v>0.90735183900745586</v>
      </c>
      <c r="S14">
        <f t="shared" si="8"/>
        <v>1.9281226578908437</v>
      </c>
      <c r="U14">
        <f t="shared" si="9"/>
        <v>3.9653544149098684E-2</v>
      </c>
      <c r="V14">
        <f t="shared" si="10"/>
        <v>0.90735743866127383</v>
      </c>
      <c r="W14">
        <f t="shared" si="11"/>
        <v>1.9281345571552069</v>
      </c>
      <c r="Y14">
        <f t="shared" si="12"/>
        <v>3.9650977696303089E-2</v>
      </c>
      <c r="Z14">
        <f t="shared" si="13"/>
        <v>0.9073630383634731</v>
      </c>
      <c r="AA14">
        <f t="shared" si="14"/>
        <v>1.9281464565223803</v>
      </c>
      <c r="AC14">
        <f t="shared" si="15"/>
        <v>3.9647128017109685E-2</v>
      </c>
      <c r="AD14">
        <f t="shared" si="16"/>
        <v>0.90737143800748721</v>
      </c>
      <c r="AE14">
        <f t="shared" si="17"/>
        <v>1.9281643057659104</v>
      </c>
      <c r="AG14">
        <f t="shared" si="18"/>
        <v>3.9621463489153678E-2</v>
      </c>
      <c r="AH14">
        <f t="shared" si="19"/>
        <v>0.90742743841632878</v>
      </c>
      <c r="AI14">
        <f t="shared" si="20"/>
        <v>1.9282833066346987</v>
      </c>
    </row>
    <row r="15" spans="1:35" x14ac:dyDescent="0.25">
      <c r="A15">
        <v>6</v>
      </c>
      <c r="B15">
        <f t="shared" si="21"/>
        <v>3</v>
      </c>
      <c r="C15">
        <v>2.125</v>
      </c>
      <c r="D15">
        <f t="shared" si="22"/>
        <v>0.8763090253621888</v>
      </c>
      <c r="E15">
        <f t="shared" si="23"/>
        <v>1.8621566788946513</v>
      </c>
      <c r="F15">
        <f t="shared" si="24"/>
        <v>5.5864700366839539</v>
      </c>
      <c r="G15">
        <f t="shared" si="25"/>
        <v>16.75941011005186</v>
      </c>
      <c r="I15" s="17">
        <f t="shared" si="0"/>
        <v>3.980507179957226E-2</v>
      </c>
      <c r="J15">
        <f t="shared" si="1"/>
        <v>0.88949642244209626</v>
      </c>
      <c r="K15">
        <f t="shared" si="2"/>
        <v>1.8901798976894546</v>
      </c>
      <c r="M15">
        <f t="shared" si="3"/>
        <v>3.9830675221509314E-2</v>
      </c>
      <c r="N15">
        <f t="shared" si="4"/>
        <v>0.88943071869243207</v>
      </c>
      <c r="O15">
        <f t="shared" si="5"/>
        <v>1.8900402772214182</v>
      </c>
      <c r="Q15">
        <f t="shared" si="6"/>
        <v>3.9829483654139936E-2</v>
      </c>
      <c r="R15">
        <f t="shared" si="7"/>
        <v>0.88943377636059662</v>
      </c>
      <c r="S15">
        <f t="shared" si="8"/>
        <v>1.8900467747662679</v>
      </c>
      <c r="U15">
        <f t="shared" si="9"/>
        <v>3.9827100519401158E-2</v>
      </c>
      <c r="V15">
        <f t="shared" si="10"/>
        <v>0.88943989173897231</v>
      </c>
      <c r="W15">
        <f t="shared" si="11"/>
        <v>1.8900597699453161</v>
      </c>
      <c r="Y15">
        <f t="shared" si="12"/>
        <v>3.9824717384662395E-2</v>
      </c>
      <c r="Z15">
        <f t="shared" si="13"/>
        <v>0.88944600717340982</v>
      </c>
      <c r="AA15">
        <f t="shared" si="14"/>
        <v>1.8900727652434959</v>
      </c>
      <c r="AC15">
        <f t="shared" si="15"/>
        <v>3.9821142682554232E-2</v>
      </c>
      <c r="AD15">
        <f t="shared" si="16"/>
        <v>0.88945518043018512</v>
      </c>
      <c r="AE15">
        <f t="shared" si="17"/>
        <v>1.8900922584141433</v>
      </c>
      <c r="AG15">
        <f t="shared" si="18"/>
        <v>3.9797311335166514E-2</v>
      </c>
      <c r="AH15">
        <f t="shared" si="19"/>
        <v>0.88951633869914803</v>
      </c>
      <c r="AI15">
        <f t="shared" si="20"/>
        <v>1.8902222197356895</v>
      </c>
    </row>
    <row r="16" spans="1:35" x14ac:dyDescent="0.25">
      <c r="A16">
        <v>7</v>
      </c>
      <c r="B16">
        <f t="shared" si="21"/>
        <v>3.5</v>
      </c>
      <c r="C16">
        <v>2.125</v>
      </c>
      <c r="D16">
        <f t="shared" si="22"/>
        <v>0.85723553471478497</v>
      </c>
      <c r="E16">
        <f t="shared" si="23"/>
        <v>1.8216255112689181</v>
      </c>
      <c r="F16">
        <f t="shared" si="24"/>
        <v>6.3756892894412136</v>
      </c>
      <c r="G16">
        <f t="shared" si="25"/>
        <v>22.314912513044248</v>
      </c>
      <c r="I16" s="17">
        <f t="shared" si="0"/>
        <v>3.9979040635502602E-2</v>
      </c>
      <c r="J16">
        <f t="shared" si="1"/>
        <v>0.87179414167621838</v>
      </c>
      <c r="K16">
        <f t="shared" si="2"/>
        <v>1.8525625510619641</v>
      </c>
      <c r="M16">
        <f t="shared" si="3"/>
        <v>4.0003956614726548E-2</v>
      </c>
      <c r="N16">
        <f t="shared" si="4"/>
        <v>0.87172104258911176</v>
      </c>
      <c r="O16">
        <f t="shared" si="5"/>
        <v>1.8524072155018625</v>
      </c>
      <c r="Q16">
        <f t="shared" si="6"/>
        <v>4.0002856706385578E-2</v>
      </c>
      <c r="R16">
        <f t="shared" si="7"/>
        <v>0.8717242693598608</v>
      </c>
      <c r="S16">
        <f t="shared" si="8"/>
        <v>1.8524140723897042</v>
      </c>
      <c r="U16">
        <f t="shared" si="9"/>
        <v>4.0000656889703633E-2</v>
      </c>
      <c r="V16">
        <f t="shared" si="10"/>
        <v>0.87173072294742893</v>
      </c>
      <c r="W16">
        <f t="shared" si="11"/>
        <v>1.8524277862632865</v>
      </c>
      <c r="Y16">
        <f t="shared" si="12"/>
        <v>3.9998457073021694E-2</v>
      </c>
      <c r="Z16">
        <f t="shared" si="13"/>
        <v>0.87173717659642536</v>
      </c>
      <c r="AA16">
        <f t="shared" si="14"/>
        <v>1.852441500267404</v>
      </c>
      <c r="AC16">
        <f t="shared" si="15"/>
        <v>3.9995157347998779E-2</v>
      </c>
      <c r="AD16">
        <f t="shared" si="16"/>
        <v>0.87174685718509914</v>
      </c>
      <c r="AE16">
        <f t="shared" si="17"/>
        <v>1.8524620715183358</v>
      </c>
      <c r="AG16">
        <f t="shared" si="18"/>
        <v>3.9973159181179344E-2</v>
      </c>
      <c r="AH16">
        <f t="shared" si="19"/>
        <v>0.87181139797527596</v>
      </c>
      <c r="AI16">
        <f t="shared" si="20"/>
        <v>1.8525992206974613</v>
      </c>
    </row>
    <row r="17" spans="1:35" x14ac:dyDescent="0.25">
      <c r="A17">
        <v>8</v>
      </c>
      <c r="B17">
        <f t="shared" si="21"/>
        <v>4</v>
      </c>
      <c r="C17">
        <v>2.125</v>
      </c>
      <c r="D17">
        <f t="shared" si="22"/>
        <v>0.83857719218858862</v>
      </c>
      <c r="E17">
        <f t="shared" si="23"/>
        <v>1.7819765334007509</v>
      </c>
      <c r="F17">
        <f t="shared" si="24"/>
        <v>7.1279061336030036</v>
      </c>
      <c r="G17">
        <f t="shared" si="25"/>
        <v>28.511624534412014</v>
      </c>
      <c r="I17" s="17">
        <f t="shared" si="0"/>
        <v>4.0153009471432938E-2</v>
      </c>
      <c r="J17">
        <f t="shared" si="1"/>
        <v>0.85430132547428261</v>
      </c>
      <c r="K17">
        <f t="shared" si="2"/>
        <v>1.8153903166328504</v>
      </c>
      <c r="M17">
        <f t="shared" si="3"/>
        <v>4.0177238007943782E-2</v>
      </c>
      <c r="N17">
        <f t="shared" si="4"/>
        <v>0.85422173231678789</v>
      </c>
      <c r="O17">
        <f t="shared" si="5"/>
        <v>1.8152211811731742</v>
      </c>
      <c r="Q17">
        <f t="shared" si="6"/>
        <v>4.0176229758631228E-2</v>
      </c>
      <c r="R17">
        <f t="shared" si="7"/>
        <v>0.85422504433143265</v>
      </c>
      <c r="S17">
        <f t="shared" si="8"/>
        <v>1.8152282192042943</v>
      </c>
      <c r="U17">
        <f t="shared" si="9"/>
        <v>4.0174213260006107E-2</v>
      </c>
      <c r="V17">
        <f t="shared" si="10"/>
        <v>0.85423166840887899</v>
      </c>
      <c r="W17">
        <f t="shared" si="11"/>
        <v>1.8152422953688678</v>
      </c>
      <c r="Y17">
        <f t="shared" si="12"/>
        <v>4.0172196761381E-2</v>
      </c>
      <c r="Z17">
        <f t="shared" si="13"/>
        <v>0.85423829255053241</v>
      </c>
      <c r="AA17">
        <f t="shared" si="14"/>
        <v>1.8152563716698813</v>
      </c>
      <c r="AC17">
        <f t="shared" si="15"/>
        <v>4.0169172013443319E-2</v>
      </c>
      <c r="AD17">
        <f t="shared" si="16"/>
        <v>0.85424822888340501</v>
      </c>
      <c r="AE17">
        <f t="shared" si="17"/>
        <v>1.8152774863772356</v>
      </c>
      <c r="AG17">
        <f t="shared" si="18"/>
        <v>4.014900702719218E-2</v>
      </c>
      <c r="AH17">
        <f t="shared" si="19"/>
        <v>0.85431447479474698</v>
      </c>
      <c r="AI17">
        <f t="shared" si="20"/>
        <v>1.8154182589388372</v>
      </c>
    </row>
    <row r="18" spans="1:35" x14ac:dyDescent="0.25">
      <c r="A18">
        <v>9</v>
      </c>
      <c r="B18">
        <f t="shared" si="21"/>
        <v>4.5</v>
      </c>
      <c r="C18">
        <v>2.125</v>
      </c>
      <c r="D18">
        <f t="shared" si="22"/>
        <v>0.820324961788788</v>
      </c>
      <c r="E18">
        <f t="shared" si="23"/>
        <v>1.7431905438011746</v>
      </c>
      <c r="F18">
        <f t="shared" si="24"/>
        <v>7.8443574471052857</v>
      </c>
      <c r="G18">
        <f t="shared" si="25"/>
        <v>35.299608511973787</v>
      </c>
      <c r="I18" s="17">
        <f t="shared" si="0"/>
        <v>4.032697830736328E-2</v>
      </c>
      <c r="J18">
        <f t="shared" si="1"/>
        <v>0.83701959580739038</v>
      </c>
      <c r="K18">
        <f t="shared" si="2"/>
        <v>1.7786666410907046</v>
      </c>
      <c r="M18">
        <f t="shared" si="3"/>
        <v>4.0350519401161009E-2</v>
      </c>
      <c r="N18">
        <f t="shared" si="4"/>
        <v>0.8369343686720655</v>
      </c>
      <c r="O18">
        <f t="shared" si="5"/>
        <v>1.7784855334281391</v>
      </c>
      <c r="Q18">
        <f t="shared" si="6"/>
        <v>4.0349602810876871E-2</v>
      </c>
      <c r="R18">
        <f t="shared" si="7"/>
        <v>0.83693768685656011</v>
      </c>
      <c r="S18">
        <f t="shared" si="8"/>
        <v>1.7784925845701902</v>
      </c>
      <c r="U18">
        <f t="shared" si="9"/>
        <v>4.0347769630308582E-2</v>
      </c>
      <c r="V18">
        <f t="shared" si="10"/>
        <v>0.83694432327378721</v>
      </c>
      <c r="W18">
        <f t="shared" si="11"/>
        <v>1.7785066869567978</v>
      </c>
      <c r="Y18">
        <f t="shared" si="12"/>
        <v>4.0345936449740299E-2</v>
      </c>
      <c r="Z18">
        <f t="shared" si="13"/>
        <v>0.8369509597553304</v>
      </c>
      <c r="AA18">
        <f t="shared" si="14"/>
        <v>1.7785207894800772</v>
      </c>
      <c r="AC18">
        <f t="shared" si="15"/>
        <v>4.0343186678887866E-2</v>
      </c>
      <c r="AD18">
        <f t="shared" si="16"/>
        <v>0.83696091459824085</v>
      </c>
      <c r="AE18">
        <f t="shared" si="17"/>
        <v>1.7785419435212617</v>
      </c>
      <c r="AG18">
        <f t="shared" si="18"/>
        <v>4.0324854873205009E-2</v>
      </c>
      <c r="AH18">
        <f t="shared" si="19"/>
        <v>0.8370272839160956</v>
      </c>
      <c r="AI18">
        <f t="shared" si="20"/>
        <v>1.7786829783217031</v>
      </c>
    </row>
    <row r="19" spans="1:35" x14ac:dyDescent="0.25">
      <c r="A19">
        <v>10</v>
      </c>
      <c r="B19">
        <f t="shared" si="21"/>
        <v>5</v>
      </c>
      <c r="C19">
        <v>2.125</v>
      </c>
      <c r="D19">
        <f t="shared" si="22"/>
        <v>0.80247000419543946</v>
      </c>
      <c r="E19">
        <f t="shared" si="23"/>
        <v>1.7052487589153089</v>
      </c>
      <c r="F19">
        <f t="shared" si="24"/>
        <v>8.5262437945765441</v>
      </c>
      <c r="G19">
        <f t="shared" si="25"/>
        <v>42.631218972882721</v>
      </c>
      <c r="I19" s="17">
        <f t="shared" si="0"/>
        <v>4.0500947143293616E-2</v>
      </c>
      <c r="J19">
        <f t="shared" si="1"/>
        <v>0.8199504350259269</v>
      </c>
      <c r="K19">
        <f t="shared" si="2"/>
        <v>1.7423946744300947</v>
      </c>
      <c r="M19">
        <f t="shared" si="3"/>
        <v>4.0523800794378242E-2</v>
      </c>
      <c r="N19">
        <f t="shared" si="4"/>
        <v>0.81986039365442342</v>
      </c>
      <c r="O19">
        <f t="shared" si="5"/>
        <v>1.7422033365156497</v>
      </c>
      <c r="Q19">
        <f t="shared" si="6"/>
        <v>4.0522975863122521E-2</v>
      </c>
      <c r="R19">
        <f t="shared" si="7"/>
        <v>0.81986364360445896</v>
      </c>
      <c r="S19">
        <f t="shared" si="8"/>
        <v>1.7422102426594752</v>
      </c>
      <c r="U19">
        <f t="shared" si="9"/>
        <v>4.0521326000611056E-2</v>
      </c>
      <c r="V19">
        <f t="shared" si="10"/>
        <v>0.81987014355090837</v>
      </c>
      <c r="W19">
        <f t="shared" si="11"/>
        <v>1.7422240550456802</v>
      </c>
      <c r="Y19">
        <f t="shared" si="12"/>
        <v>4.0519676138099606E-2</v>
      </c>
      <c r="Z19">
        <f t="shared" si="13"/>
        <v>0.81987664355919576</v>
      </c>
      <c r="AA19">
        <f t="shared" si="14"/>
        <v>1.742237867563291</v>
      </c>
      <c r="AC19">
        <f t="shared" si="15"/>
        <v>4.0517201344332412E-2</v>
      </c>
      <c r="AD19">
        <f t="shared" si="16"/>
        <v>0.81988639368757676</v>
      </c>
      <c r="AE19">
        <f t="shared" si="17"/>
        <v>1.7422585865861007</v>
      </c>
      <c r="AG19">
        <f t="shared" si="18"/>
        <v>4.0500702719217845E-2</v>
      </c>
      <c r="AH19">
        <f t="shared" si="19"/>
        <v>0.81995139809938178</v>
      </c>
      <c r="AI19">
        <f t="shared" si="20"/>
        <v>1.7423967209611864</v>
      </c>
    </row>
    <row r="20" spans="1:35" x14ac:dyDescent="0.25">
      <c r="A20">
        <v>11</v>
      </c>
      <c r="B20">
        <f t="shared" si="21"/>
        <v>5.5</v>
      </c>
      <c r="C20">
        <v>2.125</v>
      </c>
      <c r="D20">
        <f t="shared" si="22"/>
        <v>0.78500367248269931</v>
      </c>
      <c r="E20">
        <f t="shared" si="23"/>
        <v>1.6681328040257359</v>
      </c>
      <c r="F20">
        <f t="shared" si="24"/>
        <v>9.1747304221415469</v>
      </c>
      <c r="G20">
        <f t="shared" si="25"/>
        <v>50.461017321778506</v>
      </c>
      <c r="I20" s="17">
        <f t="shared" si="0"/>
        <v>4.0674915979223958E-2</v>
      </c>
      <c r="J20">
        <f t="shared" si="1"/>
        <v>0.80309518775706368</v>
      </c>
      <c r="K20">
        <f t="shared" si="2"/>
        <v>1.7065772739837604</v>
      </c>
      <c r="M20">
        <f t="shared" si="3"/>
        <v>4.0697082187595476E-2</v>
      </c>
      <c r="N20">
        <f t="shared" si="4"/>
        <v>0.80300111237849126</v>
      </c>
      <c r="O20">
        <f t="shared" si="5"/>
        <v>1.7063773638042938</v>
      </c>
      <c r="Q20">
        <f t="shared" si="6"/>
        <v>4.0696348915368163E-2</v>
      </c>
      <c r="R20">
        <f t="shared" si="7"/>
        <v>0.80300422424336415</v>
      </c>
      <c r="S20">
        <f t="shared" si="8"/>
        <v>1.7063839765171489</v>
      </c>
      <c r="U20">
        <f t="shared" si="9"/>
        <v>4.0694882370913538E-2</v>
      </c>
      <c r="V20">
        <f t="shared" si="10"/>
        <v>0.80301044801586818</v>
      </c>
      <c r="W20">
        <f t="shared" si="11"/>
        <v>1.7063972020337199</v>
      </c>
      <c r="Y20">
        <f t="shared" si="12"/>
        <v>4.0693415826458912E-2</v>
      </c>
      <c r="Z20">
        <f t="shared" si="13"/>
        <v>0.80301667184537995</v>
      </c>
      <c r="AA20">
        <f t="shared" si="14"/>
        <v>1.7064104276714325</v>
      </c>
      <c r="AC20">
        <f t="shared" si="15"/>
        <v>4.0691216009776959E-2</v>
      </c>
      <c r="AD20">
        <f t="shared" si="16"/>
        <v>0.80302600769654031</v>
      </c>
      <c r="AE20">
        <f t="shared" si="17"/>
        <v>1.7064302663551483</v>
      </c>
      <c r="AG20">
        <f t="shared" si="18"/>
        <v>4.0676550565230674E-2</v>
      </c>
      <c r="AH20">
        <f t="shared" si="19"/>
        <v>0.80308824998246098</v>
      </c>
      <c r="AI20">
        <f t="shared" si="20"/>
        <v>1.7065625312127295</v>
      </c>
    </row>
    <row r="21" spans="1:35" x14ac:dyDescent="0.25">
      <c r="A21">
        <v>12</v>
      </c>
      <c r="B21">
        <f t="shared" si="21"/>
        <v>6</v>
      </c>
      <c r="C21">
        <v>2.125</v>
      </c>
      <c r="D21">
        <f t="shared" si="22"/>
        <v>0.76791750793122937</v>
      </c>
      <c r="E21">
        <f t="shared" si="23"/>
        <v>1.6318247043538625</v>
      </c>
      <c r="F21">
        <f t="shared" si="24"/>
        <v>9.7909482261231755</v>
      </c>
      <c r="G21">
        <f t="shared" si="25"/>
        <v>58.745689356739049</v>
      </c>
      <c r="I21" s="17">
        <f t="shared" si="0"/>
        <v>4.08488848151543E-2</v>
      </c>
      <c r="J21">
        <f t="shared" si="1"/>
        <v>0.78645506287814548</v>
      </c>
      <c r="K21">
        <f t="shared" si="2"/>
        <v>1.6712170086160592</v>
      </c>
      <c r="M21">
        <f t="shared" si="3"/>
        <v>4.087036358081271E-2</v>
      </c>
      <c r="N21">
        <f t="shared" si="4"/>
        <v>0.78635769506074216</v>
      </c>
      <c r="O21">
        <f t="shared" si="5"/>
        <v>1.6710101020040771</v>
      </c>
      <c r="Q21">
        <f t="shared" si="6"/>
        <v>4.0869721967613813E-2</v>
      </c>
      <c r="R21">
        <f t="shared" si="7"/>
        <v>0.7863606034261782</v>
      </c>
      <c r="S21">
        <f t="shared" si="8"/>
        <v>1.6710162822806287</v>
      </c>
      <c r="U21">
        <f t="shared" si="9"/>
        <v>4.0868438741216012E-2</v>
      </c>
      <c r="V21">
        <f t="shared" si="10"/>
        <v>0.78636642019469805</v>
      </c>
      <c r="W21">
        <f t="shared" si="11"/>
        <v>1.6710286429137333</v>
      </c>
      <c r="Y21">
        <f t="shared" si="12"/>
        <v>4.0867155514818211E-2</v>
      </c>
      <c r="Z21">
        <f t="shared" si="13"/>
        <v>0.78637223701341608</v>
      </c>
      <c r="AA21">
        <f t="shared" si="14"/>
        <v>1.6710410036535093</v>
      </c>
      <c r="AC21">
        <f t="shared" si="15"/>
        <v>4.0865230675221506E-2</v>
      </c>
      <c r="AD21">
        <f t="shared" si="16"/>
        <v>0.7863809623356155</v>
      </c>
      <c r="AE21">
        <f t="shared" si="17"/>
        <v>1.6710595449631829</v>
      </c>
      <c r="AG21">
        <f t="shared" si="18"/>
        <v>4.085239841124351E-2</v>
      </c>
      <c r="AH21">
        <f t="shared" si="19"/>
        <v>0.78643913403683652</v>
      </c>
      <c r="AI21">
        <f t="shared" si="20"/>
        <v>1.6711831598282776</v>
      </c>
    </row>
    <row r="22" spans="1:35" x14ac:dyDescent="0.25">
      <c r="A22">
        <v>13</v>
      </c>
      <c r="B22">
        <f t="shared" si="21"/>
        <v>6.5</v>
      </c>
      <c r="C22">
        <v>2.125</v>
      </c>
      <c r="D22">
        <f t="shared" si="22"/>
        <v>0.75120323593174776</v>
      </c>
      <c r="E22">
        <f t="shared" si="23"/>
        <v>1.5963068763549639</v>
      </c>
      <c r="F22">
        <f t="shared" si="24"/>
        <v>10.375994696307266</v>
      </c>
      <c r="G22">
        <f t="shared" si="25"/>
        <v>67.443965525997228</v>
      </c>
      <c r="I22" s="17">
        <f t="shared" si="0"/>
        <v>4.1022853651084636E-2</v>
      </c>
      <c r="J22">
        <f t="shared" si="1"/>
        <v>0.77003113556237324</v>
      </c>
      <c r="K22">
        <f t="shared" si="2"/>
        <v>1.6363161630700431</v>
      </c>
      <c r="M22">
        <f t="shared" si="3"/>
        <v>4.1043644974029937E-2</v>
      </c>
      <c r="N22">
        <f t="shared" si="4"/>
        <v>0.7699311790770258</v>
      </c>
      <c r="O22">
        <f t="shared" si="5"/>
        <v>1.6361037555386799</v>
      </c>
      <c r="Q22">
        <f t="shared" si="6"/>
        <v>4.1043095019859456E-2</v>
      </c>
      <c r="R22">
        <f t="shared" si="7"/>
        <v>0.76993382284712553</v>
      </c>
      <c r="S22">
        <f t="shared" si="8"/>
        <v>1.6361093735501417</v>
      </c>
      <c r="U22">
        <f t="shared" si="9"/>
        <v>4.1041995111518487E-2</v>
      </c>
      <c r="V22">
        <f t="shared" si="10"/>
        <v>0.76993911041875018</v>
      </c>
      <c r="W22">
        <f t="shared" si="11"/>
        <v>1.6361206096398442</v>
      </c>
      <c r="Y22">
        <f t="shared" si="12"/>
        <v>4.1040895203177517E-2</v>
      </c>
      <c r="Z22">
        <f t="shared" si="13"/>
        <v>0.7699443980322731</v>
      </c>
      <c r="AA22">
        <f t="shared" si="14"/>
        <v>1.6361318458185803</v>
      </c>
      <c r="AC22">
        <f t="shared" si="15"/>
        <v>4.1039245340666053E-2</v>
      </c>
      <c r="AD22">
        <f t="shared" si="16"/>
        <v>0.76995232953112069</v>
      </c>
      <c r="AE22">
        <f t="shared" si="17"/>
        <v>1.6361487002536315</v>
      </c>
      <c r="AG22">
        <f t="shared" si="18"/>
        <v>4.1028246257256339E-2</v>
      </c>
      <c r="AH22">
        <f t="shared" si="19"/>
        <v>0.77000520859943222</v>
      </c>
      <c r="AI22">
        <f t="shared" si="20"/>
        <v>1.6362610682737935</v>
      </c>
    </row>
    <row r="23" spans="1:35" x14ac:dyDescent="0.25">
      <c r="A23">
        <v>14</v>
      </c>
      <c r="B23">
        <f t="shared" si="21"/>
        <v>7</v>
      </c>
      <c r="C23">
        <v>2.125</v>
      </c>
      <c r="D23">
        <f t="shared" si="22"/>
        <v>0.73485276197774307</v>
      </c>
      <c r="E23">
        <f t="shared" si="23"/>
        <v>1.561562119202704</v>
      </c>
      <c r="F23">
        <f t="shared" si="24"/>
        <v>10.930934834418927</v>
      </c>
      <c r="G23">
        <f t="shared" si="25"/>
        <v>76.516543840932485</v>
      </c>
      <c r="I23" s="17">
        <f t="shared" si="0"/>
        <v>4.1196822487014978E-2</v>
      </c>
      <c r="J23">
        <f t="shared" si="1"/>
        <v>0.75382434939318221</v>
      </c>
      <c r="K23">
        <f t="shared" si="2"/>
        <v>1.6018767424605123</v>
      </c>
      <c r="M23">
        <f t="shared" si="3"/>
        <v>4.1216926367247171E-2</v>
      </c>
      <c r="N23">
        <f t="shared" si="4"/>
        <v>0.75372247108736268</v>
      </c>
      <c r="O23">
        <f t="shared" si="5"/>
        <v>1.6016602510606457</v>
      </c>
      <c r="Q23">
        <f t="shared" si="6"/>
        <v>4.1216468072105106E-2</v>
      </c>
      <c r="R23">
        <f t="shared" si="7"/>
        <v>0.75372479336586762</v>
      </c>
      <c r="S23">
        <f t="shared" si="8"/>
        <v>1.6016651859024686</v>
      </c>
      <c r="U23">
        <f t="shared" si="9"/>
        <v>4.1215551481820961E-2</v>
      </c>
      <c r="V23">
        <f t="shared" si="10"/>
        <v>0.75372943794740721</v>
      </c>
      <c r="W23">
        <f t="shared" si="11"/>
        <v>1.6016750556382404</v>
      </c>
      <c r="Y23">
        <f t="shared" si="12"/>
        <v>4.1214634891536817E-2</v>
      </c>
      <c r="Z23">
        <f t="shared" si="13"/>
        <v>0.75373408256165586</v>
      </c>
      <c r="AA23">
        <f t="shared" si="14"/>
        <v>1.6016849254435188</v>
      </c>
      <c r="AC23">
        <f t="shared" si="15"/>
        <v>4.12132600061106E-2</v>
      </c>
      <c r="AD23">
        <f t="shared" si="16"/>
        <v>0.75374104954436005</v>
      </c>
      <c r="AE23">
        <f t="shared" si="17"/>
        <v>1.601699730281765</v>
      </c>
      <c r="AG23">
        <f t="shared" si="18"/>
        <v>4.1204094103269175E-2</v>
      </c>
      <c r="AH23">
        <f t="shared" si="19"/>
        <v>0.75378749797659161</v>
      </c>
      <c r="AI23">
        <f t="shared" si="20"/>
        <v>1.6017984332002573</v>
      </c>
    </row>
    <row r="24" spans="1:35" x14ac:dyDescent="0.25">
      <c r="A24">
        <v>15</v>
      </c>
      <c r="B24">
        <f t="shared" si="21"/>
        <v>7.5</v>
      </c>
      <c r="C24">
        <v>2.125</v>
      </c>
      <c r="D24">
        <f t="shared" si="22"/>
        <v>0.71885816774540778</v>
      </c>
      <c r="E24">
        <f t="shared" si="23"/>
        <v>1.5275736064589915</v>
      </c>
      <c r="F24">
        <f t="shared" si="24"/>
        <v>11.456802048442437</v>
      </c>
      <c r="G24">
        <f t="shared" si="25"/>
        <v>85.926015363318285</v>
      </c>
      <c r="I24" s="17">
        <f t="shared" si="0"/>
        <v>4.1370791322945313E-2</v>
      </c>
      <c r="J24">
        <f t="shared" si="1"/>
        <v>0.73783551854371754</v>
      </c>
      <c r="K24">
        <f t="shared" si="2"/>
        <v>1.5679004769053997</v>
      </c>
      <c r="M24">
        <f t="shared" si="3"/>
        <v>4.1390207760464405E-2</v>
      </c>
      <c r="N24">
        <f t="shared" si="4"/>
        <v>0.73773234922444675</v>
      </c>
      <c r="O24">
        <f t="shared" si="5"/>
        <v>1.5676812421019493</v>
      </c>
      <c r="Q24">
        <f t="shared" si="6"/>
        <v>4.1389841124350749E-2</v>
      </c>
      <c r="R24">
        <f t="shared" si="7"/>
        <v>0.73773429719546779</v>
      </c>
      <c r="S24">
        <f t="shared" si="8"/>
        <v>1.5676853815403691</v>
      </c>
      <c r="U24">
        <f t="shared" si="9"/>
        <v>4.1389107852123436E-2</v>
      </c>
      <c r="V24">
        <f t="shared" si="10"/>
        <v>0.73773819315499811</v>
      </c>
      <c r="W24">
        <f t="shared" si="11"/>
        <v>1.567693660454371</v>
      </c>
      <c r="Y24">
        <f t="shared" si="12"/>
        <v>4.1388374579896123E-2</v>
      </c>
      <c r="Z24">
        <f t="shared" si="13"/>
        <v>0.737742089137845</v>
      </c>
      <c r="AA24">
        <f t="shared" si="14"/>
        <v>1.5677019394179206</v>
      </c>
      <c r="AC24">
        <f t="shared" si="15"/>
        <v>4.1387274671555146E-2</v>
      </c>
      <c r="AD24">
        <f t="shared" si="16"/>
        <v>0.7377479331558382</v>
      </c>
      <c r="AE24">
        <f t="shared" si="17"/>
        <v>1.5677143579561561</v>
      </c>
      <c r="AG24">
        <f t="shared" si="18"/>
        <v>4.1379941949282004E-2</v>
      </c>
      <c r="AH24">
        <f t="shared" si="19"/>
        <v>0.73778689461660885</v>
      </c>
      <c r="AI24">
        <f t="shared" si="20"/>
        <v>1.5677971510602937</v>
      </c>
    </row>
    <row r="25" spans="1:35" x14ac:dyDescent="0.25">
      <c r="A25">
        <v>16</v>
      </c>
      <c r="B25">
        <f t="shared" si="21"/>
        <v>8</v>
      </c>
      <c r="C25">
        <v>2.125</v>
      </c>
      <c r="D25">
        <f t="shared" si="22"/>
        <v>0.70321170725889715</v>
      </c>
      <c r="E25">
        <f t="shared" si="23"/>
        <v>1.4943248779251563</v>
      </c>
      <c r="F25">
        <f t="shared" si="24"/>
        <v>11.954599023401251</v>
      </c>
      <c r="G25">
        <f t="shared" si="25"/>
        <v>95.636792187210006</v>
      </c>
      <c r="I25" s="17">
        <f t="shared" si="0"/>
        <v>4.1544760158875656E-2</v>
      </c>
      <c r="J25">
        <f t="shared" si="1"/>
        <v>0.72206533001779982</v>
      </c>
      <c r="K25">
        <f t="shared" si="2"/>
        <v>1.5343888262878247</v>
      </c>
      <c r="M25">
        <f t="shared" si="3"/>
        <v>4.1563489153681632E-2</v>
      </c>
      <c r="N25">
        <f t="shared" si="4"/>
        <v>0.72196146534225869</v>
      </c>
      <c r="O25">
        <f t="shared" si="5"/>
        <v>1.5341681138522998</v>
      </c>
      <c r="Q25">
        <f t="shared" si="6"/>
        <v>4.1563214176596398E-2</v>
      </c>
      <c r="R25">
        <f t="shared" si="7"/>
        <v>0.72196299015066223</v>
      </c>
      <c r="S25">
        <f t="shared" si="8"/>
        <v>1.5341713540701571</v>
      </c>
      <c r="U25">
        <f t="shared" si="9"/>
        <v>4.156266422242591E-2</v>
      </c>
      <c r="V25">
        <f t="shared" si="10"/>
        <v>0.72196603977834095</v>
      </c>
      <c r="W25">
        <f t="shared" si="11"/>
        <v>1.5341778345289745</v>
      </c>
      <c r="Y25">
        <f t="shared" si="12"/>
        <v>4.1562114268255429E-2</v>
      </c>
      <c r="Z25">
        <f t="shared" si="13"/>
        <v>0.72196908942051041</v>
      </c>
      <c r="AA25">
        <f t="shared" si="14"/>
        <v>1.5341843150185845</v>
      </c>
      <c r="AC25">
        <f t="shared" si="15"/>
        <v>4.1561289336999693E-2</v>
      </c>
      <c r="AD25">
        <f t="shared" si="16"/>
        <v>0.72197366391093842</v>
      </c>
      <c r="AE25">
        <f t="shared" si="17"/>
        <v>1.5341940358107442</v>
      </c>
      <c r="AG25">
        <f t="shared" si="18"/>
        <v>4.155578979529484E-2</v>
      </c>
      <c r="AH25">
        <f t="shared" si="19"/>
        <v>0.72200416134711021</v>
      </c>
      <c r="AI25">
        <f t="shared" si="20"/>
        <v>1.5342588428626092</v>
      </c>
    </row>
    <row r="26" spans="1:35" x14ac:dyDescent="0.25">
      <c r="A26">
        <v>17</v>
      </c>
      <c r="B26">
        <f t="shared" si="21"/>
        <v>8.5</v>
      </c>
      <c r="C26">
        <v>2.125</v>
      </c>
      <c r="D26">
        <f t="shared" si="22"/>
        <v>0.68790580313905314</v>
      </c>
      <c r="E26">
        <f t="shared" si="23"/>
        <v>1.4617998316704879</v>
      </c>
      <c r="F26">
        <f t="shared" si="24"/>
        <v>12.425298569199146</v>
      </c>
      <c r="G26">
        <f t="shared" si="25"/>
        <v>105.61503783819275</v>
      </c>
      <c r="I26" s="17">
        <f t="shared" si="0"/>
        <v>4.1718728994805991E-2</v>
      </c>
      <c r="J26">
        <f t="shared" si="1"/>
        <v>0.70651434594879314</v>
      </c>
      <c r="K26">
        <f t="shared" si="2"/>
        <v>1.5013429851411855</v>
      </c>
      <c r="M26">
        <f t="shared" si="3"/>
        <v>4.1736770546898866E-2</v>
      </c>
      <c r="N26">
        <f t="shared" si="4"/>
        <v>0.70641034732125019</v>
      </c>
      <c r="O26">
        <f t="shared" si="5"/>
        <v>1.5011219880576567</v>
      </c>
      <c r="Q26">
        <f t="shared" si="6"/>
        <v>4.1736587228842041E-2</v>
      </c>
      <c r="R26">
        <f t="shared" si="7"/>
        <v>0.7064114039528443</v>
      </c>
      <c r="S26">
        <f t="shared" si="8"/>
        <v>1.5011242333997941</v>
      </c>
      <c r="U26">
        <f t="shared" si="9"/>
        <v>4.1736220592728385E-2</v>
      </c>
      <c r="V26">
        <f t="shared" si="10"/>
        <v>0.7064135172213305</v>
      </c>
      <c r="W26">
        <f t="shared" si="11"/>
        <v>1.5011287240953273</v>
      </c>
      <c r="Y26">
        <f t="shared" si="12"/>
        <v>4.1735853956614728E-2</v>
      </c>
      <c r="Z26">
        <f t="shared" si="13"/>
        <v>0.70641563049688105</v>
      </c>
      <c r="AA26">
        <f t="shared" si="14"/>
        <v>1.5011332148058723</v>
      </c>
      <c r="AC26">
        <f t="shared" si="15"/>
        <v>4.173530400244424E-2</v>
      </c>
      <c r="AD26">
        <f t="shared" si="16"/>
        <v>0.70641880042345795</v>
      </c>
      <c r="AE26">
        <f t="shared" si="17"/>
        <v>1.5011399508998482</v>
      </c>
      <c r="AG26">
        <f t="shared" si="18"/>
        <v>4.1731637641307669E-2</v>
      </c>
      <c r="AH26">
        <f t="shared" si="19"/>
        <v>0.70643993367358338</v>
      </c>
      <c r="AI26">
        <f t="shared" si="20"/>
        <v>1.5011848590563646</v>
      </c>
    </row>
    <row r="27" spans="1:35" x14ac:dyDescent="0.25">
      <c r="A27">
        <v>18</v>
      </c>
      <c r="B27">
        <f t="shared" si="21"/>
        <v>9</v>
      </c>
      <c r="C27">
        <v>2.125</v>
      </c>
      <c r="D27">
        <f t="shared" si="22"/>
        <v>0.67293304293377654</v>
      </c>
      <c r="E27">
        <f t="shared" si="23"/>
        <v>1.4299827162342751</v>
      </c>
      <c r="F27">
        <f t="shared" si="24"/>
        <v>12.869844446108475</v>
      </c>
      <c r="G27">
        <f t="shared" si="25"/>
        <v>115.82860001497627</v>
      </c>
      <c r="I27" s="17">
        <f t="shared" si="0"/>
        <v>4.1892697830736333E-2</v>
      </c>
      <c r="J27">
        <f t="shared" si="1"/>
        <v>0.69118300595278848</v>
      </c>
      <c r="K27">
        <f t="shared" si="2"/>
        <v>1.4687638876496756</v>
      </c>
      <c r="M27">
        <f t="shared" si="3"/>
        <v>4.19100519401161E-2</v>
      </c>
      <c r="N27">
        <f t="shared" si="4"/>
        <v>0.69107940142654078</v>
      </c>
      <c r="O27">
        <f t="shared" si="5"/>
        <v>1.4685437280313991</v>
      </c>
      <c r="Q27">
        <f t="shared" si="6"/>
        <v>4.1909960281087691E-2</v>
      </c>
      <c r="R27">
        <f t="shared" si="7"/>
        <v>0.69107994858821575</v>
      </c>
      <c r="S27">
        <f t="shared" si="8"/>
        <v>1.4685448907499585</v>
      </c>
      <c r="U27">
        <f t="shared" si="9"/>
        <v>4.1909776963030859E-2</v>
      </c>
      <c r="V27">
        <f t="shared" si="10"/>
        <v>0.69108104291301076</v>
      </c>
      <c r="W27">
        <f t="shared" si="11"/>
        <v>1.4685472161901478</v>
      </c>
      <c r="Y27">
        <f t="shared" si="12"/>
        <v>4.1909593644974034E-2</v>
      </c>
      <c r="Z27">
        <f t="shared" si="13"/>
        <v>0.69108213723972944</v>
      </c>
      <c r="AA27">
        <f t="shared" si="14"/>
        <v>1.468549541634425</v>
      </c>
      <c r="AC27">
        <f t="shared" si="15"/>
        <v>4.1909318667888787E-2</v>
      </c>
      <c r="AD27">
        <f t="shared" si="16"/>
        <v>0.69108377873341909</v>
      </c>
      <c r="AE27">
        <f t="shared" si="17"/>
        <v>1.4685530298085157</v>
      </c>
      <c r="AG27">
        <f t="shared" si="18"/>
        <v>4.1907485487320505E-2</v>
      </c>
      <c r="AH27">
        <f t="shared" si="19"/>
        <v>0.69109472213539191</v>
      </c>
      <c r="AI27">
        <f t="shared" si="20"/>
        <v>1.4685762845377077</v>
      </c>
    </row>
    <row r="28" spans="1:35" x14ac:dyDescent="0.25">
      <c r="A28">
        <v>19</v>
      </c>
      <c r="B28">
        <f t="shared" si="21"/>
        <v>9.5</v>
      </c>
      <c r="C28">
        <v>102.125</v>
      </c>
      <c r="D28">
        <f t="shared" si="22"/>
        <v>0.6582861755282724</v>
      </c>
      <c r="E28">
        <f t="shared" si="23"/>
        <v>67.22747567582482</v>
      </c>
      <c r="F28">
        <f t="shared" si="24"/>
        <v>638.66101892033578</v>
      </c>
      <c r="G28">
        <f t="shared" si="25"/>
        <v>6067.2796797431902</v>
      </c>
      <c r="I28" s="17">
        <f t="shared" si="0"/>
        <v>4.2066666666666669E-2</v>
      </c>
      <c r="J28">
        <f>1/(1+I28)^B28</f>
        <v>0.67607162953253686</v>
      </c>
      <c r="K28">
        <f>C28*J28</f>
        <v>69.043815166010333</v>
      </c>
      <c r="M28">
        <f t="shared" si="3"/>
        <v>4.2083333333333334E-2</v>
      </c>
      <c r="N28">
        <f t="shared" si="4"/>
        <v>0.67596891471557852</v>
      </c>
      <c r="O28">
        <f t="shared" si="5"/>
        <v>69.033325415328463</v>
      </c>
      <c r="Q28">
        <f t="shared" si="6"/>
        <v>4.2083333333333334E-2</v>
      </c>
      <c r="R28">
        <f t="shared" si="7"/>
        <v>0.67596891471557852</v>
      </c>
      <c r="S28">
        <f t="shared" si="8"/>
        <v>69.033325415328463</v>
      </c>
      <c r="U28">
        <f t="shared" si="9"/>
        <v>4.2083333333333334E-2</v>
      </c>
      <c r="V28">
        <f t="shared" si="10"/>
        <v>0.67596891471557852</v>
      </c>
      <c r="W28">
        <f t="shared" si="11"/>
        <v>69.033325415328463</v>
      </c>
      <c r="Y28">
        <f t="shared" si="12"/>
        <v>4.2083333333333334E-2</v>
      </c>
      <c r="Z28">
        <f t="shared" si="13"/>
        <v>0.67596891471557852</v>
      </c>
      <c r="AA28">
        <f t="shared" si="14"/>
        <v>69.033325415328463</v>
      </c>
      <c r="AC28">
        <f t="shared" si="15"/>
        <v>4.2083333333333334E-2</v>
      </c>
      <c r="AD28">
        <f t="shared" si="16"/>
        <v>0.67596891471557852</v>
      </c>
      <c r="AE28">
        <f t="shared" si="17"/>
        <v>69.033325415328463</v>
      </c>
      <c r="AG28">
        <f t="shared" si="18"/>
        <v>4.2083333333333334E-2</v>
      </c>
      <c r="AH28">
        <f t="shared" si="19"/>
        <v>0.67596891471557852</v>
      </c>
      <c r="AI28">
        <f t="shared" si="20"/>
        <v>69.033325415328463</v>
      </c>
    </row>
    <row r="30" spans="1:35" x14ac:dyDescent="0.25">
      <c r="K30" s="12">
        <f>SUM(K10:K28)</f>
        <v>100.84185178439311</v>
      </c>
      <c r="N30" s="15"/>
      <c r="O30" s="18">
        <f>SUM(O10:O28)</f>
        <v>100.82841967032383</v>
      </c>
      <c r="S30" s="11">
        <f>SUM(S10:S28)</f>
        <v>100.82850827242331</v>
      </c>
      <c r="W30" s="11">
        <f>SUM(W10:W28)</f>
        <v>100.82868547770067</v>
      </c>
      <c r="AA30" s="11">
        <f>SUM(AA10:AA28)</f>
        <v>100.82886268441582</v>
      </c>
      <c r="AE30" s="11">
        <f>SUM(AE10:AE28)</f>
        <v>100.82912849718458</v>
      </c>
      <c r="AI30" s="11">
        <f>SUM(AI10:AI28)</f>
        <v>100.8309006649902</v>
      </c>
    </row>
    <row r="31" spans="1:35" x14ac:dyDescent="0.25">
      <c r="A31" s="11" t="s">
        <v>16</v>
      </c>
      <c r="B31" s="12">
        <f>SUM(E10:E28)</f>
        <v>98.464207530463995</v>
      </c>
    </row>
    <row r="32" spans="1:35" x14ac:dyDescent="0.25">
      <c r="A32" s="11" t="s">
        <v>27</v>
      </c>
      <c r="B32" s="11">
        <f>SUM(F10:F28)/B31</f>
        <v>7.8994028357191475</v>
      </c>
    </row>
    <row r="33" spans="1:2" x14ac:dyDescent="0.25">
      <c r="A33" s="11" t="s">
        <v>28</v>
      </c>
      <c r="B33" s="11">
        <f>B32/(1+B6%/B7)</f>
        <v>7.7274667016083605</v>
      </c>
    </row>
    <row r="34" spans="1:2" x14ac:dyDescent="0.25">
      <c r="A34" s="11" t="s">
        <v>29</v>
      </c>
      <c r="B34" s="11">
        <f>SUM(G10:G28)/(B31*(1+B6%/2)^2)</f>
        <v>67.016924071753166</v>
      </c>
    </row>
    <row r="35" spans="1:2" x14ac:dyDescent="0.25">
      <c r="A35" s="11" t="s">
        <v>30</v>
      </c>
      <c r="B35" s="11">
        <f>B33*B31*0.0001</f>
        <v>7.6087888499191569E-2</v>
      </c>
    </row>
    <row r="36" spans="1:2" x14ac:dyDescent="0.25">
      <c r="A36" s="11" t="s">
        <v>75</v>
      </c>
      <c r="B36" s="11">
        <v>10000</v>
      </c>
    </row>
    <row r="37" spans="1:2" x14ac:dyDescent="0.25">
      <c r="A37" s="11" t="s">
        <v>35</v>
      </c>
      <c r="B37" s="11">
        <f>(O30-K30)/0.0001</f>
        <v>-134.32114069289014</v>
      </c>
    </row>
    <row r="38" spans="1:2" x14ac:dyDescent="0.25">
      <c r="A38" s="11" t="s">
        <v>47</v>
      </c>
      <c r="B38" s="11">
        <f>(S30-K30)/0.0001</f>
        <v>-133.43511969807764</v>
      </c>
    </row>
    <row r="39" spans="1:2" x14ac:dyDescent="0.25">
      <c r="A39" s="11" t="s">
        <v>48</v>
      </c>
      <c r="B39" s="11">
        <f>(W30-K30)/0.0001</f>
        <v>-131.66306692440344</v>
      </c>
    </row>
    <row r="40" spans="1:2" x14ac:dyDescent="0.25">
      <c r="A40" s="11" t="s">
        <v>49</v>
      </c>
      <c r="B40" s="11">
        <f>(AA30-K30)/0.0001</f>
        <v>-129.89099977289698</v>
      </c>
    </row>
    <row r="41" spans="1:2" x14ac:dyDescent="0.25">
      <c r="A41" s="11" t="s">
        <v>50</v>
      </c>
      <c r="B41" s="11">
        <f>(AE30-K30)/0.0001</f>
        <v>-127.2328720853011</v>
      </c>
    </row>
    <row r="42" spans="1:2" x14ac:dyDescent="0.25">
      <c r="A42" s="11" t="s">
        <v>51</v>
      </c>
      <c r="B42" s="11">
        <f>(AI30-K30)/0.0001</f>
        <v>-109.51119402918152</v>
      </c>
    </row>
  </sheetData>
  <mergeCells count="7">
    <mergeCell ref="AG8:AI8"/>
    <mergeCell ref="I8:K8"/>
    <mergeCell ref="M8:O8"/>
    <mergeCell ref="Q8:S8"/>
    <mergeCell ref="U8:W8"/>
    <mergeCell ref="Y8:AA8"/>
    <mergeCell ref="AC8:AE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06B41-1FD9-4A0D-81AC-DCDCCB906A79}">
  <sheetPr codeName="Sheet3"/>
  <dimension ref="A1:R13"/>
  <sheetViews>
    <sheetView workbookViewId="0">
      <selection activeCell="B1" sqref="B1"/>
    </sheetView>
  </sheetViews>
  <sheetFormatPr defaultRowHeight="15" x14ac:dyDescent="0.25"/>
  <cols>
    <col min="1" max="1" width="10.5703125" bestFit="1" customWidth="1"/>
    <col min="2" max="2" width="11" bestFit="1" customWidth="1"/>
    <col min="3" max="3" width="16.5703125" bestFit="1" customWidth="1"/>
    <col min="4" max="4" width="16.140625" bestFit="1" customWidth="1"/>
    <col min="5" max="5" width="12.85546875" bestFit="1" customWidth="1"/>
    <col min="6" max="6" width="16.28515625" bestFit="1" customWidth="1"/>
    <col min="7" max="7" width="26.5703125" customWidth="1"/>
    <col min="8" max="8" width="12.7109375" bestFit="1" customWidth="1"/>
    <col min="9" max="9" width="12.5703125" bestFit="1" customWidth="1"/>
    <col min="10" max="10" width="11.28515625" bestFit="1" customWidth="1"/>
    <col min="11" max="11" width="13.42578125" bestFit="1" customWidth="1"/>
    <col min="12" max="12" width="11.28515625" bestFit="1" customWidth="1"/>
    <col min="13" max="13" width="22.42578125" bestFit="1" customWidth="1"/>
    <col min="15" max="15" width="10.5703125" bestFit="1" customWidth="1"/>
    <col min="16" max="16" width="9.28515625" bestFit="1" customWidth="1"/>
    <col min="17" max="17" width="10.140625" bestFit="1" customWidth="1"/>
    <col min="18" max="18" width="7.7109375" bestFit="1" customWidth="1"/>
  </cols>
  <sheetData>
    <row r="1" spans="1:18" x14ac:dyDescent="0.25">
      <c r="A1" s="2" t="s">
        <v>60</v>
      </c>
      <c r="B1" s="2" t="s">
        <v>92</v>
      </c>
      <c r="C1" s="2" t="s">
        <v>57</v>
      </c>
      <c r="D1" s="2" t="s">
        <v>58</v>
      </c>
      <c r="E1" s="2" t="s">
        <v>59</v>
      </c>
      <c r="F1" s="2" t="s">
        <v>68</v>
      </c>
      <c r="I1" s="2" t="s">
        <v>70</v>
      </c>
      <c r="J1" s="2" t="s">
        <v>71</v>
      </c>
      <c r="K1" s="2" t="s">
        <v>72</v>
      </c>
      <c r="L1" s="2" t="s">
        <v>73</v>
      </c>
      <c r="M1" s="2" t="s">
        <v>74</v>
      </c>
      <c r="O1" s="2" t="s">
        <v>79</v>
      </c>
      <c r="P1" s="2" t="s">
        <v>80</v>
      </c>
      <c r="Q1" s="2" t="s">
        <v>81</v>
      </c>
      <c r="R1" s="2" t="s">
        <v>82</v>
      </c>
    </row>
    <row r="2" spans="1:18" x14ac:dyDescent="0.25">
      <c r="A2">
        <v>2</v>
      </c>
      <c r="B2">
        <f>DurationTool!B37</f>
        <v>-134.32114069289014</v>
      </c>
      <c r="C2" t="s">
        <v>61</v>
      </c>
      <c r="D2">
        <v>-100</v>
      </c>
      <c r="E2">
        <v>1.3432101312214799</v>
      </c>
      <c r="F2">
        <f>D2*E2</f>
        <v>-134.321013122148</v>
      </c>
      <c r="I2">
        <v>50</v>
      </c>
      <c r="J2">
        <f>DurationTool!$B$36*DurationTool!$B$35</f>
        <v>760.8788849919157</v>
      </c>
      <c r="K2">
        <f>ABS(B2*J2)/I2</f>
        <v>2044.0423952249696</v>
      </c>
      <c r="L2">
        <f>K2*I2</f>
        <v>102202.11976124848</v>
      </c>
      <c r="M2">
        <f>(B2/ABS(B2))*L2</f>
        <v>-102202.11976124848</v>
      </c>
      <c r="O2">
        <v>-10</v>
      </c>
      <c r="P2">
        <v>-0.13432114069289014</v>
      </c>
      <c r="Q2">
        <v>-204.40423952249697</v>
      </c>
      <c r="R2">
        <v>-204.53856066318986</v>
      </c>
    </row>
    <row r="3" spans="1:18" x14ac:dyDescent="0.25">
      <c r="A3">
        <v>3</v>
      </c>
      <c r="B3">
        <f>DurationTool!B38</f>
        <v>-133.43511969807764</v>
      </c>
      <c r="C3" t="s">
        <v>62</v>
      </c>
      <c r="D3">
        <v>-100</v>
      </c>
      <c r="E3">
        <v>1.334349921414772</v>
      </c>
      <c r="F3">
        <f t="shared" ref="F3:F7" si="0">D3*E3</f>
        <v>-133.43499214147721</v>
      </c>
      <c r="I3">
        <v>60</v>
      </c>
      <c r="J3">
        <f>DurationTool!$B$36*DurationTool!$B$35</f>
        <v>760.8788849919157</v>
      </c>
      <c r="K3">
        <f t="shared" ref="K3:K7" si="1">ABS(B3*J3)/I3</f>
        <v>1692.1327515772687</v>
      </c>
      <c r="L3">
        <f t="shared" ref="L3:L7" si="2">K3*I3</f>
        <v>101527.96509463612</v>
      </c>
      <c r="M3">
        <f t="shared" ref="M3:M7" si="3">(B3/ABS(B3))*L3</f>
        <v>-101527.96509463612</v>
      </c>
      <c r="O3">
        <v>-15</v>
      </c>
      <c r="P3">
        <v>-0.20015267954711646</v>
      </c>
      <c r="Q3">
        <v>-253.81991273659031</v>
      </c>
      <c r="R3">
        <v>-254.02006541613741</v>
      </c>
    </row>
    <row r="4" spans="1:18" x14ac:dyDescent="0.25">
      <c r="A4">
        <v>5</v>
      </c>
      <c r="B4">
        <f>DurationTool!B39</f>
        <v>-131.66306692440344</v>
      </c>
      <c r="C4" t="s">
        <v>63</v>
      </c>
      <c r="D4">
        <v>-100</v>
      </c>
      <c r="E4">
        <v>1.3166293938325782</v>
      </c>
      <c r="F4">
        <f t="shared" si="0"/>
        <v>-131.66293938325782</v>
      </c>
      <c r="I4">
        <v>90</v>
      </c>
      <c r="J4">
        <f>DurationTool!$B$36*DurationTool!$B$35</f>
        <v>760.8788849919157</v>
      </c>
      <c r="K4">
        <f t="shared" si="1"/>
        <v>1113.1071950672897</v>
      </c>
      <c r="L4">
        <f t="shared" si="2"/>
        <v>100179.64755605608</v>
      </c>
      <c r="M4">
        <f t="shared" si="3"/>
        <v>-100179.64755605608</v>
      </c>
      <c r="O4">
        <v>-20</v>
      </c>
      <c r="P4">
        <v>-0.26332613384880688</v>
      </c>
      <c r="Q4">
        <v>-222.62143901345794</v>
      </c>
      <c r="R4">
        <v>-222.88476514730675</v>
      </c>
    </row>
    <row r="5" spans="1:18" x14ac:dyDescent="0.25">
      <c r="A5">
        <v>7</v>
      </c>
      <c r="B5">
        <f>DurationTool!B40</f>
        <v>-129.89099977289698</v>
      </c>
      <c r="C5" t="s">
        <v>64</v>
      </c>
      <c r="D5">
        <v>-100</v>
      </c>
      <c r="E5">
        <v>1.2989087202925926</v>
      </c>
      <c r="F5">
        <f t="shared" si="0"/>
        <v>-129.89087202925927</v>
      </c>
      <c r="I5">
        <v>110</v>
      </c>
      <c r="J5">
        <f>DurationTool!$B$36*DurationTool!$B$35</f>
        <v>760.8788849919157</v>
      </c>
      <c r="K5">
        <f t="shared" si="1"/>
        <v>898.46653706988207</v>
      </c>
      <c r="L5">
        <f t="shared" si="2"/>
        <v>98831.319077687032</v>
      </c>
      <c r="M5">
        <f t="shared" si="3"/>
        <v>-98831.319077687032</v>
      </c>
      <c r="O5">
        <v>-25</v>
      </c>
      <c r="P5">
        <v>-0.32472749943224244</v>
      </c>
      <c r="Q5">
        <v>-224.61663426747052</v>
      </c>
      <c r="R5">
        <v>-224.94136176690276</v>
      </c>
    </row>
    <row r="6" spans="1:18" x14ac:dyDescent="0.25">
      <c r="A6">
        <v>10</v>
      </c>
      <c r="B6">
        <f>DurationTool!B41</f>
        <v>-127.2328720853011</v>
      </c>
      <c r="C6" t="s">
        <v>65</v>
      </c>
      <c r="D6">
        <v>-100</v>
      </c>
      <c r="E6">
        <v>1.2723274440595134</v>
      </c>
      <c r="F6">
        <f t="shared" si="0"/>
        <v>-127.23274440595134</v>
      </c>
      <c r="H6" s="16"/>
      <c r="I6">
        <v>135</v>
      </c>
      <c r="J6">
        <f>DurationTool!$B$36*DurationTool!$B$35</f>
        <v>760.8788849919157</v>
      </c>
      <c r="K6">
        <f t="shared" si="1"/>
        <v>717.10226553024404</v>
      </c>
      <c r="L6">
        <f t="shared" si="2"/>
        <v>96808.805846582953</v>
      </c>
      <c r="M6">
        <f t="shared" si="3"/>
        <v>-96808.805846582953</v>
      </c>
      <c r="O6">
        <v>-30</v>
      </c>
      <c r="P6">
        <v>-0.38169861625590329</v>
      </c>
      <c r="Q6">
        <v>-215.13067965907322</v>
      </c>
      <c r="R6">
        <v>-215.51237827532913</v>
      </c>
    </row>
    <row r="7" spans="1:18" x14ac:dyDescent="0.25">
      <c r="A7">
        <v>30</v>
      </c>
      <c r="B7">
        <f>DurationTool!B42</f>
        <v>-109.51119402918152</v>
      </c>
      <c r="C7" t="s">
        <v>66</v>
      </c>
      <c r="D7">
        <v>-100</v>
      </c>
      <c r="E7">
        <v>1.0951106645642048</v>
      </c>
      <c r="F7">
        <f t="shared" si="0"/>
        <v>-109.51106645642048</v>
      </c>
      <c r="I7">
        <v>210</v>
      </c>
      <c r="J7">
        <f>DurationTool!$B$36*DurationTool!$B$35</f>
        <v>760.8788849919157</v>
      </c>
      <c r="K7">
        <f t="shared" si="1"/>
        <v>396.78454860503325</v>
      </c>
      <c r="L7">
        <f t="shared" si="2"/>
        <v>83324.75520705698</v>
      </c>
      <c r="M7">
        <f t="shared" si="3"/>
        <v>-83324.75520705698</v>
      </c>
      <c r="O7">
        <v>-35</v>
      </c>
      <c r="P7">
        <v>-0.38328917910213534</v>
      </c>
      <c r="Q7">
        <v>-138.87459201176165</v>
      </c>
      <c r="R7">
        <v>-139.25788119086377</v>
      </c>
    </row>
    <row r="9" spans="1:18" x14ac:dyDescent="0.25">
      <c r="B9">
        <f>SUM(B2:B7)</f>
        <v>-766.05439320275082</v>
      </c>
      <c r="F9">
        <f>SUM(F2:F7)</f>
        <v>-766.05362753851421</v>
      </c>
      <c r="H9" s="23">
        <f>SUMXMY2(B2:B7,F2:F7)</f>
        <v>9.7706987078166896E-8</v>
      </c>
    </row>
    <row r="11" spans="1:18" x14ac:dyDescent="0.25">
      <c r="G11" s="6" t="s">
        <v>76</v>
      </c>
      <c r="H11" s="6">
        <f>SUMPRODUCT(B2:B7,L2:L7)/(SQRT(SUMSQ(B2:B7))*SQRT(SUMSQ(L2:L7)))</f>
        <v>-1</v>
      </c>
    </row>
    <row r="12" spans="1:18" x14ac:dyDescent="0.25">
      <c r="G12" s="6" t="s">
        <v>77</v>
      </c>
      <c r="H12" s="6">
        <f>ROUND(H11^2*100,2)</f>
        <v>100</v>
      </c>
    </row>
    <row r="13" spans="1:18" x14ac:dyDescent="0.25">
      <c r="G13" s="6" t="s">
        <v>78</v>
      </c>
      <c r="H13" s="24" t="str">
        <f>IF(H12&gt;98,"Excellent",IF(H12&gt;95,"Good","Poor"))</f>
        <v>Excellent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ScenarioEngine_KRDTool">
                <anchor moveWithCells="1" sizeWithCells="1">
                  <from>
                    <xdr:col>11</xdr:col>
                    <xdr:colOff>142875</xdr:colOff>
                    <xdr:row>9</xdr:row>
                    <xdr:rowOff>152400</xdr:rowOff>
                  </from>
                  <to>
                    <xdr:col>12</xdr:col>
                    <xdr:colOff>762000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ApplyScenarioandCreateSheet">
                <anchor moveWithCells="1" sizeWithCells="1">
                  <from>
                    <xdr:col>11</xdr:col>
                    <xdr:colOff>200025</xdr:colOff>
                    <xdr:row>13</xdr:row>
                    <xdr:rowOff>114300</xdr:rowOff>
                  </from>
                  <to>
                    <xdr:col>12</xdr:col>
                    <xdr:colOff>714375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913D59-DF42-4DFA-ABA1-F8E01C727B08}">
          <x14:formula1>
            <xm:f>Scenarios!$A$2:$A$100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A41E-3374-438D-B9A4-0959178E46AF}">
  <dimension ref="A1:U13"/>
  <sheetViews>
    <sheetView tabSelected="1" workbookViewId="0">
      <selection activeCell="N1" sqref="N1"/>
    </sheetView>
  </sheetViews>
  <sheetFormatPr defaultRowHeight="15" x14ac:dyDescent="0.25"/>
  <cols>
    <col min="7" max="7" width="26.42578125" bestFit="1" customWidth="1"/>
    <col min="20" max="20" width="19" bestFit="1" customWidth="1"/>
  </cols>
  <sheetData>
    <row r="1" spans="1:21" x14ac:dyDescent="0.25">
      <c r="A1" s="2" t="s">
        <v>60</v>
      </c>
      <c r="B1" s="2" t="s">
        <v>92</v>
      </c>
      <c r="C1" s="2" t="s">
        <v>57</v>
      </c>
      <c r="D1" s="2" t="s">
        <v>58</v>
      </c>
      <c r="E1" s="2" t="s">
        <v>59</v>
      </c>
      <c r="F1" s="2" t="s">
        <v>68</v>
      </c>
      <c r="I1" s="2" t="s">
        <v>70</v>
      </c>
      <c r="J1" s="2" t="s">
        <v>71</v>
      </c>
      <c r="K1" s="2" t="s">
        <v>72</v>
      </c>
      <c r="L1" s="2" t="s">
        <v>73</v>
      </c>
      <c r="M1" s="2" t="s">
        <v>74</v>
      </c>
      <c r="O1" s="2" t="s">
        <v>79</v>
      </c>
      <c r="P1" s="2" t="s">
        <v>80</v>
      </c>
      <c r="Q1" s="2" t="s">
        <v>81</v>
      </c>
      <c r="R1" s="2" t="s">
        <v>82</v>
      </c>
      <c r="T1" t="s">
        <v>100</v>
      </c>
    </row>
    <row r="2" spans="1:21" x14ac:dyDescent="0.25">
      <c r="A2">
        <v>2</v>
      </c>
      <c r="B2">
        <f>DurationTool!B37</f>
        <v>-134.32114069289014</v>
      </c>
      <c r="C2" t="s">
        <v>61</v>
      </c>
      <c r="D2">
        <v>-100</v>
      </c>
      <c r="E2">
        <v>1.3432101312214799</v>
      </c>
      <c r="F2">
        <f>D2*E2</f>
        <v>-134.321013122148</v>
      </c>
      <c r="I2">
        <v>50</v>
      </c>
      <c r="J2">
        <f>DurationTool!$B$36*DurationTool!$B$35</f>
        <v>760.8788849919157</v>
      </c>
      <c r="K2">
        <f>ABS(B2*J2)/I2</f>
        <v>2044.0423952249696</v>
      </c>
      <c r="L2">
        <f>K2*I2</f>
        <v>102202.11976124848</v>
      </c>
      <c r="M2">
        <f>(B2/ABS(B2))*L2</f>
        <v>-102202.11976124848</v>
      </c>
      <c r="O2">
        <v>-10</v>
      </c>
      <c r="P2">
        <v>-0.13432114069289014</v>
      </c>
      <c r="Q2">
        <v>-204.40423952249697</v>
      </c>
      <c r="R2">
        <v>-204.53856066318986</v>
      </c>
      <c r="T2" t="s">
        <v>101</v>
      </c>
      <c r="U2" t="s">
        <v>92</v>
      </c>
    </row>
    <row r="3" spans="1:21" x14ac:dyDescent="0.25">
      <c r="A3">
        <v>3</v>
      </c>
      <c r="B3">
        <f>DurationTool!B38</f>
        <v>-133.43511969807764</v>
      </c>
      <c r="C3" t="s">
        <v>62</v>
      </c>
      <c r="D3">
        <v>-100</v>
      </c>
      <c r="E3">
        <v>1.334349921414772</v>
      </c>
      <c r="F3">
        <f t="shared" ref="F3:F7" si="0">D3*E3</f>
        <v>-133.43499214147721</v>
      </c>
      <c r="I3">
        <v>60</v>
      </c>
      <c r="J3">
        <f>DurationTool!$B$36*DurationTool!$B$35</f>
        <v>760.8788849919157</v>
      </c>
      <c r="K3">
        <f t="shared" ref="K3:K7" si="1">ABS(B3*J3)/I3</f>
        <v>1692.1327515772687</v>
      </c>
      <c r="L3">
        <f t="shared" ref="L3:L7" si="2">K3*I3</f>
        <v>101527.96509463612</v>
      </c>
      <c r="M3">
        <f t="shared" ref="M3:M7" si="3">(B3/ABS(B3))*L3</f>
        <v>-101527.96509463612</v>
      </c>
      <c r="O3">
        <v>-15</v>
      </c>
      <c r="P3">
        <v>-0.20015267954711646</v>
      </c>
      <c r="Q3">
        <v>-253.81991273659031</v>
      </c>
      <c r="R3">
        <v>-254.02006541613741</v>
      </c>
      <c r="T3" t="s">
        <v>102</v>
      </c>
      <c r="U3">
        <f>SUM(P2:P20)</f>
        <v>-1.6875152488790945</v>
      </c>
    </row>
    <row r="4" spans="1:21" x14ac:dyDescent="0.25">
      <c r="A4">
        <v>5</v>
      </c>
      <c r="B4">
        <f>DurationTool!B39</f>
        <v>-131.66306692440344</v>
      </c>
      <c r="C4" t="s">
        <v>63</v>
      </c>
      <c r="D4">
        <v>-100</v>
      </c>
      <c r="E4">
        <v>1.3166293938325782</v>
      </c>
      <c r="F4">
        <f t="shared" si="0"/>
        <v>-131.66293938325782</v>
      </c>
      <c r="I4">
        <v>90</v>
      </c>
      <c r="J4">
        <f>DurationTool!$B$36*DurationTool!$B$35</f>
        <v>760.8788849919157</v>
      </c>
      <c r="K4">
        <f t="shared" si="1"/>
        <v>1113.1071950672897</v>
      </c>
      <c r="L4">
        <f t="shared" si="2"/>
        <v>100179.64755605608</v>
      </c>
      <c r="M4">
        <f t="shared" si="3"/>
        <v>-100179.64755605608</v>
      </c>
      <c r="O4">
        <v>-20</v>
      </c>
      <c r="P4">
        <v>-0.26332613384880688</v>
      </c>
      <c r="Q4">
        <v>-222.62143901345794</v>
      </c>
      <c r="R4">
        <v>-222.88476514730675</v>
      </c>
      <c r="T4" t="s">
        <v>103</v>
      </c>
      <c r="U4">
        <f>SUM(Q2:Q20)</f>
        <v>-1259.4674972108508</v>
      </c>
    </row>
    <row r="5" spans="1:21" x14ac:dyDescent="0.25">
      <c r="A5">
        <v>7</v>
      </c>
      <c r="B5">
        <f>DurationTool!B40</f>
        <v>-129.89099977289698</v>
      </c>
      <c r="C5" t="s">
        <v>64</v>
      </c>
      <c r="D5">
        <v>-100</v>
      </c>
      <c r="E5">
        <v>1.2989087202925926</v>
      </c>
      <c r="F5">
        <f t="shared" si="0"/>
        <v>-129.89087202925927</v>
      </c>
      <c r="I5">
        <v>110</v>
      </c>
      <c r="J5">
        <f>DurationTool!$B$36*DurationTool!$B$35</f>
        <v>760.8788849919157</v>
      </c>
      <c r="K5">
        <f t="shared" si="1"/>
        <v>898.46653706988207</v>
      </c>
      <c r="L5">
        <f t="shared" si="2"/>
        <v>98831.319077687032</v>
      </c>
      <c r="M5">
        <f t="shared" si="3"/>
        <v>-98831.319077687032</v>
      </c>
      <c r="O5">
        <v>-25</v>
      </c>
      <c r="P5">
        <v>-0.32472749943224244</v>
      </c>
      <c r="Q5">
        <v>-224.61663426747052</v>
      </c>
      <c r="R5">
        <v>-224.94136176690276</v>
      </c>
      <c r="T5" t="s">
        <v>104</v>
      </c>
      <c r="U5">
        <f>SUM(R2:R20)</f>
        <v>-1261.1550124597297</v>
      </c>
    </row>
    <row r="6" spans="1:21" x14ac:dyDescent="0.25">
      <c r="A6">
        <v>10</v>
      </c>
      <c r="B6">
        <f>DurationTool!B41</f>
        <v>-127.2328720853011</v>
      </c>
      <c r="C6" t="s">
        <v>65</v>
      </c>
      <c r="D6">
        <v>-100</v>
      </c>
      <c r="E6">
        <v>1.2723274440595134</v>
      </c>
      <c r="F6">
        <f t="shared" si="0"/>
        <v>-127.23274440595134</v>
      </c>
      <c r="H6" s="16"/>
      <c r="I6">
        <v>135</v>
      </c>
      <c r="J6">
        <f>DurationTool!$B$36*DurationTool!$B$35</f>
        <v>760.8788849919157</v>
      </c>
      <c r="K6">
        <f t="shared" si="1"/>
        <v>717.10226553024404</v>
      </c>
      <c r="L6">
        <f t="shared" si="2"/>
        <v>96808.805846582953</v>
      </c>
      <c r="M6">
        <f t="shared" si="3"/>
        <v>-96808.805846582953</v>
      </c>
      <c r="O6">
        <v>-30</v>
      </c>
      <c r="P6">
        <v>-0.38169861625590329</v>
      </c>
      <c r="Q6">
        <v>-215.13067965907322</v>
      </c>
      <c r="R6">
        <v>-215.51237827532913</v>
      </c>
      <c r="T6" t="s">
        <v>105</v>
      </c>
      <c r="U6">
        <f>IF(U3&lt;&gt;0,U4/U3,"")</f>
        <v>746.34436521236307</v>
      </c>
    </row>
    <row r="7" spans="1:21" x14ac:dyDescent="0.25">
      <c r="A7">
        <v>30</v>
      </c>
      <c r="B7">
        <f>DurationTool!B42</f>
        <v>-109.51119402918152</v>
      </c>
      <c r="C7" t="s">
        <v>66</v>
      </c>
      <c r="D7">
        <v>-100</v>
      </c>
      <c r="E7">
        <v>1.0951106645642048</v>
      </c>
      <c r="F7">
        <f t="shared" si="0"/>
        <v>-109.51106645642048</v>
      </c>
      <c r="I7">
        <v>210</v>
      </c>
      <c r="J7">
        <f>DurationTool!$B$36*DurationTool!$B$35</f>
        <v>760.8788849919157</v>
      </c>
      <c r="K7">
        <f t="shared" si="1"/>
        <v>396.78454860503325</v>
      </c>
      <c r="L7">
        <f t="shared" si="2"/>
        <v>83324.75520705698</v>
      </c>
      <c r="M7">
        <f t="shared" si="3"/>
        <v>-83324.75520705698</v>
      </c>
      <c r="O7">
        <v>-35</v>
      </c>
      <c r="P7">
        <v>-0.38328917910213534</v>
      </c>
      <c r="Q7">
        <v>-138.87459201176165</v>
      </c>
      <c r="R7">
        <v>-139.25788119086377</v>
      </c>
    </row>
    <row r="9" spans="1:21" x14ac:dyDescent="0.25">
      <c r="B9">
        <f>SUM(B2:B7)</f>
        <v>-766.05439320275082</v>
      </c>
      <c r="F9">
        <f>SUM(F2:F7)</f>
        <v>-766.05362753851421</v>
      </c>
      <c r="H9" s="23">
        <f>SUMXMY2(B2:B7,F2:F7)</f>
        <v>9.7706987078166896E-8</v>
      </c>
    </row>
    <row r="11" spans="1:21" x14ac:dyDescent="0.25">
      <c r="G11" s="6" t="s">
        <v>76</v>
      </c>
      <c r="H11" s="6">
        <f>SUMPRODUCT(B2:B7,L2:L7)/(SQRT(SUMSQ(B2:B7))*SQRT(SUMSQ(L2:L7)))</f>
        <v>-1</v>
      </c>
    </row>
    <row r="12" spans="1:21" x14ac:dyDescent="0.25">
      <c r="G12" s="6" t="s">
        <v>77</v>
      </c>
      <c r="H12" s="6">
        <f>ROUND(H11^2*100,2)</f>
        <v>100</v>
      </c>
    </row>
    <row r="13" spans="1:21" x14ac:dyDescent="0.25">
      <c r="G13" s="6" t="s">
        <v>78</v>
      </c>
      <c r="H13" s="24" t="str">
        <f>IF(H12&gt;98,"Excellent",IF(H12&gt;95,"Good","Poor"))</f>
        <v>Excellent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unScenarioEngine_KRDTool">
                <anchor moveWithCells="1" sizeWithCells="1">
                  <from>
                    <xdr:col>11</xdr:col>
                    <xdr:colOff>142875</xdr:colOff>
                    <xdr:row>9</xdr:row>
                    <xdr:rowOff>152400</xdr:rowOff>
                  </from>
                  <to>
                    <xdr:col>12</xdr:col>
                    <xdr:colOff>762000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pplyScenarioandCreateSheet">
                <anchor moveWithCells="1" sizeWithCells="1">
                  <from>
                    <xdr:col>11</xdr:col>
                    <xdr:colOff>200025</xdr:colOff>
                    <xdr:row>13</xdr:row>
                    <xdr:rowOff>114300</xdr:rowOff>
                  </from>
                  <to>
                    <xdr:col>12</xdr:col>
                    <xdr:colOff>714375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E26713-F85E-4FB6-B533-E8BB726EA241}">
          <x14:formula1>
            <xm:f>Scenarios!$A$2:$A$100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43FD1-56E2-4738-92D1-632F9923A452}">
  <sheetPr codeName="Sheet4"/>
  <dimension ref="A1:C38"/>
  <sheetViews>
    <sheetView zoomScale="94" workbookViewId="0">
      <selection activeCell="J12" sqref="J12"/>
    </sheetView>
  </sheetViews>
  <sheetFormatPr defaultRowHeight="15" x14ac:dyDescent="0.25"/>
  <cols>
    <col min="2" max="2" width="10.85546875" bestFit="1" customWidth="1"/>
  </cols>
  <sheetData>
    <row r="1" spans="1:2" x14ac:dyDescent="0.25">
      <c r="A1" s="2" t="s">
        <v>31</v>
      </c>
      <c r="B1" s="2" t="s">
        <v>34</v>
      </c>
    </row>
    <row r="2" spans="1:2" x14ac:dyDescent="0.25">
      <c r="A2">
        <v>2</v>
      </c>
      <c r="B2" s="21">
        <v>3.9600000000000003E-2</v>
      </c>
    </row>
    <row r="3" spans="1:2" x14ac:dyDescent="0.25">
      <c r="A3">
        <v>3</v>
      </c>
      <c r="B3" s="21">
        <v>3.8699999999999998E-2</v>
      </c>
    </row>
    <row r="4" spans="1:2" x14ac:dyDescent="0.25">
      <c r="A4">
        <v>5</v>
      </c>
      <c r="B4" s="21">
        <v>4.0099999999999997E-2</v>
      </c>
    </row>
    <row r="5" spans="1:2" x14ac:dyDescent="0.25">
      <c r="A5">
        <v>7</v>
      </c>
      <c r="B5" s="21">
        <v>4.1399999999999999E-2</v>
      </c>
    </row>
    <row r="6" spans="1:2" x14ac:dyDescent="0.25">
      <c r="A6">
        <v>10</v>
      </c>
      <c r="B6" s="21">
        <v>4.3799999999999999E-2</v>
      </c>
    </row>
    <row r="7" spans="1:2" x14ac:dyDescent="0.25">
      <c r="A7">
        <v>30</v>
      </c>
      <c r="B7" s="21">
        <v>4.8800000000000003E-2</v>
      </c>
    </row>
    <row r="13" spans="1:2" x14ac:dyDescent="0.25">
      <c r="A13" s="2" t="s">
        <v>31</v>
      </c>
      <c r="B13" s="2" t="s">
        <v>33</v>
      </c>
    </row>
    <row r="14" spans="1:2" x14ac:dyDescent="0.25">
      <c r="A14">
        <v>1</v>
      </c>
      <c r="B14" s="21">
        <f>_xlfn.FORECAST.LINEAR(A14,B2:B7,A2:A7)</f>
        <v>3.9109196455850904E-2</v>
      </c>
    </row>
    <row r="15" spans="1:2" x14ac:dyDescent="0.25">
      <c r="A15">
        <v>2</v>
      </c>
      <c r="B15" s="21">
        <v>3.9600000000000003E-2</v>
      </c>
    </row>
    <row r="16" spans="1:2" x14ac:dyDescent="0.25">
      <c r="A16">
        <v>3</v>
      </c>
      <c r="B16" s="21">
        <v>3.8699999999999998E-2</v>
      </c>
    </row>
    <row r="17" spans="1:2" x14ac:dyDescent="0.25">
      <c r="A17">
        <v>4</v>
      </c>
      <c r="B17" s="21">
        <f>_xlfn.FORECAST.LINEAR(A17,B2:B7,A2:A7)</f>
        <v>4.0153009471432938E-2</v>
      </c>
    </row>
    <row r="18" spans="1:2" x14ac:dyDescent="0.25">
      <c r="A18">
        <v>5</v>
      </c>
      <c r="B18" s="21">
        <v>4.0099999999999997E-2</v>
      </c>
    </row>
    <row r="19" spans="1:2" x14ac:dyDescent="0.25">
      <c r="A19">
        <v>6</v>
      </c>
      <c r="B19" s="21">
        <f>_xlfn.FORECAST.LINEAR(A19,B2:B7,A2:A7)</f>
        <v>4.08488848151543E-2</v>
      </c>
    </row>
    <row r="20" spans="1:2" x14ac:dyDescent="0.25">
      <c r="A20">
        <v>7</v>
      </c>
      <c r="B20" s="21">
        <v>4.1399999999999999E-2</v>
      </c>
    </row>
    <row r="21" spans="1:2" x14ac:dyDescent="0.25">
      <c r="A21">
        <v>8</v>
      </c>
      <c r="B21" s="21">
        <f>(_xlfn.FORECAST.LINEAR(A21,B2:B7,A2:A7))</f>
        <v>4.1544760158875656E-2</v>
      </c>
    </row>
    <row r="22" spans="1:2" x14ac:dyDescent="0.25">
      <c r="A22">
        <v>9</v>
      </c>
      <c r="B22" s="21">
        <f>_xlfn.FORECAST.LINEAR(A22,B2:B7,A2:A7)</f>
        <v>4.1892697830736333E-2</v>
      </c>
    </row>
    <row r="23" spans="1:2" x14ac:dyDescent="0.25">
      <c r="A23">
        <v>10</v>
      </c>
      <c r="B23" s="21">
        <v>4.3799999999999999E-2</v>
      </c>
    </row>
    <row r="24" spans="1:2" x14ac:dyDescent="0.25">
      <c r="A24">
        <v>15</v>
      </c>
      <c r="B24" s="21">
        <f>_xlfn.FORECAST.LINEAR(A24,B2:B7,A2:A7)</f>
        <v>4.39803238619004E-2</v>
      </c>
    </row>
    <row r="25" spans="1:2" x14ac:dyDescent="0.25">
      <c r="A25">
        <v>30</v>
      </c>
      <c r="B25" s="21">
        <v>4.8800000000000003E-2</v>
      </c>
    </row>
    <row r="29" spans="1:2" x14ac:dyDescent="0.25">
      <c r="A29" s="26" t="s">
        <v>56</v>
      </c>
      <c r="B29" s="26"/>
    </row>
    <row r="30" spans="1:2" x14ac:dyDescent="0.25">
      <c r="A30" t="s">
        <v>53</v>
      </c>
      <c r="B30" s="16">
        <v>3.96</v>
      </c>
    </row>
    <row r="31" spans="1:2" x14ac:dyDescent="0.25">
      <c r="A31" t="s">
        <v>54</v>
      </c>
      <c r="B31">
        <v>2</v>
      </c>
    </row>
    <row r="32" spans="1:2" x14ac:dyDescent="0.25">
      <c r="A32" t="s">
        <v>55</v>
      </c>
      <c r="B32">
        <v>100</v>
      </c>
    </row>
    <row r="34" spans="1:3" x14ac:dyDescent="0.25">
      <c r="A34" s="6" t="s">
        <v>20</v>
      </c>
      <c r="B34" s="6" t="s">
        <v>22</v>
      </c>
      <c r="C34" s="6" t="s">
        <v>24</v>
      </c>
    </row>
    <row r="35" spans="1:3" x14ac:dyDescent="0.25">
      <c r="A35">
        <v>1</v>
      </c>
      <c r="B35" s="9">
        <f>$B$30/2</f>
        <v>1.98</v>
      </c>
    </row>
    <row r="36" spans="1:3" x14ac:dyDescent="0.25">
      <c r="A36">
        <v>2</v>
      </c>
      <c r="B36" s="9">
        <f t="shared" ref="B36:B37" si="0">$B$30/2</f>
        <v>1.98</v>
      </c>
    </row>
    <row r="37" spans="1:3" x14ac:dyDescent="0.25">
      <c r="A37">
        <v>3</v>
      </c>
      <c r="B37" s="9">
        <f t="shared" si="0"/>
        <v>1.98</v>
      </c>
    </row>
    <row r="38" spans="1:3" x14ac:dyDescent="0.25">
      <c r="A38">
        <v>4</v>
      </c>
      <c r="B38" s="9">
        <f>($B$30/2)+100</f>
        <v>101.98</v>
      </c>
    </row>
  </sheetData>
  <mergeCells count="1">
    <mergeCell ref="A29:B2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C08CE-4A4C-4A9F-A1EB-1B2B0CA52F81}">
  <sheetPr codeName="Sheet5"/>
  <dimension ref="A1:G4"/>
  <sheetViews>
    <sheetView workbookViewId="0">
      <selection activeCell="I5" sqref="I5"/>
    </sheetView>
  </sheetViews>
  <sheetFormatPr defaultRowHeight="15" x14ac:dyDescent="0.25"/>
  <cols>
    <col min="1" max="1" width="15" bestFit="1" customWidth="1"/>
  </cols>
  <sheetData>
    <row r="1" spans="1:7" x14ac:dyDescent="0.25">
      <c r="A1" s="15" t="s">
        <v>83</v>
      </c>
      <c r="B1" s="15" t="s">
        <v>84</v>
      </c>
      <c r="C1" s="15" t="s">
        <v>85</v>
      </c>
      <c r="D1" s="15" t="s">
        <v>86</v>
      </c>
      <c r="E1" s="15" t="s">
        <v>87</v>
      </c>
      <c r="F1" s="15" t="s">
        <v>88</v>
      </c>
      <c r="G1" s="15" t="s">
        <v>89</v>
      </c>
    </row>
    <row r="2" spans="1:7" x14ac:dyDescent="0.25">
      <c r="A2" s="15" t="s">
        <v>90</v>
      </c>
      <c r="B2">
        <v>25</v>
      </c>
      <c r="C2">
        <v>25</v>
      </c>
      <c r="D2">
        <v>25</v>
      </c>
      <c r="E2">
        <v>25</v>
      </c>
      <c r="F2">
        <v>25</v>
      </c>
      <c r="G2">
        <v>25</v>
      </c>
    </row>
    <row r="3" spans="1:7" x14ac:dyDescent="0.25">
      <c r="A3" s="15" t="s">
        <v>91</v>
      </c>
      <c r="B3">
        <v>30</v>
      </c>
      <c r="C3">
        <v>20</v>
      </c>
      <c r="D3">
        <v>10</v>
      </c>
      <c r="E3">
        <v>0</v>
      </c>
      <c r="F3">
        <v>-10</v>
      </c>
      <c r="G3">
        <v>-20</v>
      </c>
    </row>
    <row r="4" spans="1:7" x14ac:dyDescent="0.25">
      <c r="A4" s="15" t="s">
        <v>92</v>
      </c>
      <c r="B4">
        <v>-10</v>
      </c>
      <c r="C4">
        <v>-15</v>
      </c>
      <c r="D4">
        <v>-20</v>
      </c>
      <c r="E4">
        <v>-25</v>
      </c>
      <c r="F4">
        <v>-30</v>
      </c>
      <c r="G4">
        <v>-35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DurationTool</vt:lpstr>
      <vt:lpstr>Hedge Allocation</vt:lpstr>
      <vt:lpstr>Scenario_Bull_Flattener_154641</vt:lpstr>
      <vt:lpstr>Yield Curves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NIHALANI, Simran</dc:creator>
  <cp:lastModifiedBy>NIHALANI, Simran</cp:lastModifiedBy>
  <dcterms:created xsi:type="dcterms:W3CDTF">2025-06-19T11:34:34Z</dcterms:created>
  <dcterms:modified xsi:type="dcterms:W3CDTF">2026-04-26T13:34:49Z</dcterms:modified>
</cp:coreProperties>
</file>